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3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ali Silva\Documents\GitHub\W26_4495_S2_SandaliS\DocumentAndReports\"/>
    </mc:Choice>
  </mc:AlternateContent>
  <xr:revisionPtr revIDLastSave="0" documentId="13_ncr:1_{F95A977F-C30D-42AC-9EE3-43146AB41ADF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WBS Project" sheetId="8" state="hidden" r:id="rId1"/>
    <sheet name="WBS Phase 3" sheetId="10" state="hidden" r:id="rId2"/>
    <sheet name="WBS Phase 3v2" sheetId="13" state="hidden" r:id="rId3"/>
    <sheet name="Gantt Chart" sheetId="7" r:id="rId4"/>
    <sheet name="Scheduling Critical Path" sheetId="2" state="hidden" r:id="rId5"/>
    <sheet name="Sheet1" sheetId="14" state="hidden" r:id="rId6"/>
    <sheet name="Network Diagram" sheetId="4" state="hidden" r:id="rId7"/>
    <sheet name="Backlog and Sprints" sheetId="12" state="hidden" r:id="rId8"/>
    <sheet name="Business Case Financials" sheetId="11" state="hidden" r:id="rId9"/>
  </sheets>
  <definedNames>
    <definedName name="_xlnm.Print_Area" localSheetId="3">'Gantt Chart'!$B$1:$CG$45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7" l="1"/>
  <c r="G31" i="7"/>
  <c r="I20" i="14"/>
  <c r="H20" i="14" s="1"/>
  <c r="F13" i="14"/>
  <c r="G13" i="14" s="1"/>
  <c r="G10" i="14"/>
  <c r="F14" i="14" s="1"/>
  <c r="G14" i="14" s="1"/>
  <c r="E23" i="7"/>
  <c r="G20" i="7"/>
  <c r="G35" i="7"/>
  <c r="A5" i="12"/>
  <c r="A6" i="12"/>
  <c r="A7" i="12"/>
  <c r="A8" i="12"/>
  <c r="A9" i="12"/>
  <c r="A10" i="12"/>
  <c r="A11" i="12"/>
  <c r="A12" i="12"/>
  <c r="A13" i="12"/>
  <c r="A14" i="12"/>
  <c r="A4" i="12"/>
  <c r="N13" i="11"/>
  <c r="N14" i="11" s="1"/>
  <c r="C13" i="11"/>
  <c r="B13" i="11"/>
  <c r="C14" i="11"/>
  <c r="E14" i="11"/>
  <c r="F14" i="11"/>
  <c r="G14" i="11"/>
  <c r="H14" i="11"/>
  <c r="I14" i="11"/>
  <c r="J14" i="11"/>
  <c r="K14" i="11"/>
  <c r="L14" i="11"/>
  <c r="M14" i="11"/>
  <c r="B14" i="11"/>
  <c r="E6" i="11"/>
  <c r="B12" i="11"/>
  <c r="C12" i="11"/>
  <c r="C9" i="11"/>
  <c r="D9" i="11" s="1"/>
  <c r="E9" i="11" s="1"/>
  <c r="F9" i="11" s="1"/>
  <c r="G9" i="11" s="1"/>
  <c r="H9" i="11" s="1"/>
  <c r="I9" i="11" s="1"/>
  <c r="J9" i="11" s="1"/>
  <c r="K9" i="11" s="1"/>
  <c r="L9" i="11" s="1"/>
  <c r="M9" i="11" s="1"/>
  <c r="C6" i="11"/>
  <c r="D6" i="11"/>
  <c r="B6" i="11"/>
  <c r="B7" i="11" s="1"/>
  <c r="B11" i="11" s="1"/>
  <c r="L11" i="2"/>
  <c r="L12" i="2"/>
  <c r="L13" i="2"/>
  <c r="L14" i="2"/>
  <c r="L15" i="2"/>
  <c r="L16" i="2"/>
  <c r="L17" i="2"/>
  <c r="L18" i="2"/>
  <c r="L19" i="2"/>
  <c r="L20" i="2"/>
  <c r="L10" i="2"/>
  <c r="B6" i="4"/>
  <c r="D31" i="4"/>
  <c r="C31" i="4"/>
  <c r="B31" i="4"/>
  <c r="B30" i="4"/>
  <c r="H26" i="4"/>
  <c r="G26" i="4"/>
  <c r="F26" i="4"/>
  <c r="F25" i="4"/>
  <c r="D26" i="4"/>
  <c r="C26" i="4"/>
  <c r="B26" i="4"/>
  <c r="B25" i="4"/>
  <c r="H21" i="4"/>
  <c r="G21" i="4"/>
  <c r="F21" i="4"/>
  <c r="F20" i="4"/>
  <c r="D21" i="4"/>
  <c r="C21" i="4"/>
  <c r="B21" i="4"/>
  <c r="B20" i="4"/>
  <c r="F15" i="4"/>
  <c r="H16" i="4"/>
  <c r="G16" i="4"/>
  <c r="F16" i="4"/>
  <c r="D16" i="4"/>
  <c r="C16" i="4"/>
  <c r="B16" i="4"/>
  <c r="B15" i="4"/>
  <c r="H11" i="4"/>
  <c r="G11" i="4"/>
  <c r="F11" i="4"/>
  <c r="F10" i="4"/>
  <c r="D11" i="4"/>
  <c r="C11" i="4"/>
  <c r="B11" i="4"/>
  <c r="B10" i="4"/>
  <c r="H6" i="4"/>
  <c r="G6" i="4"/>
  <c r="F6" i="4"/>
  <c r="F5" i="4"/>
  <c r="D6" i="4"/>
  <c r="C6" i="4"/>
  <c r="B5" i="4"/>
  <c r="B4" i="4"/>
  <c r="B29" i="4"/>
  <c r="F24" i="4"/>
  <c r="B24" i="4"/>
  <c r="F19" i="4"/>
  <c r="B19" i="4"/>
  <c r="F14" i="4"/>
  <c r="B14" i="4"/>
  <c r="F9" i="4"/>
  <c r="B9" i="4"/>
  <c r="D9" i="4" s="1"/>
  <c r="F4" i="4"/>
  <c r="G12" i="2"/>
  <c r="H12" i="2" s="1"/>
  <c r="G11" i="2"/>
  <c r="H11" i="2" s="1"/>
  <c r="H10" i="2"/>
  <c r="I19" i="14" l="1"/>
  <c r="H19" i="14" s="1"/>
  <c r="F12" i="14"/>
  <c r="G12" i="14" s="1"/>
  <c r="F11" i="14"/>
  <c r="G11" i="14" s="1"/>
  <c r="F15" i="14" s="1"/>
  <c r="G15" i="14" s="1"/>
  <c r="D14" i="11"/>
  <c r="D12" i="11"/>
  <c r="C5" i="11"/>
  <c r="H19" i="4"/>
  <c r="H9" i="4"/>
  <c r="H14" i="4"/>
  <c r="D14" i="4"/>
  <c r="D24" i="4"/>
  <c r="D19" i="4"/>
  <c r="D29" i="4"/>
  <c r="H24" i="4"/>
  <c r="H4" i="4"/>
  <c r="D4" i="4"/>
  <c r="G13" i="2"/>
  <c r="H13" i="2" s="1"/>
  <c r="G15" i="2" s="1"/>
  <c r="H15" i="2" s="1"/>
  <c r="G14" i="2"/>
  <c r="H14" i="2" s="1"/>
  <c r="G45" i="7"/>
  <c r="G44" i="7"/>
  <c r="G43" i="7"/>
  <c r="G42" i="7"/>
  <c r="G26" i="7"/>
  <c r="G25" i="7"/>
  <c r="G30" i="7"/>
  <c r="G29" i="7"/>
  <c r="G28" i="7"/>
  <c r="G34" i="7"/>
  <c r="G33" i="7"/>
  <c r="G32" i="7"/>
  <c r="G39" i="7"/>
  <c r="G38" i="7"/>
  <c r="G37" i="7"/>
  <c r="E41" i="7"/>
  <c r="F16" i="14" l="1"/>
  <c r="G16" i="14" s="1"/>
  <c r="F18" i="14" s="1"/>
  <c r="G18" i="14" s="1"/>
  <c r="F19" i="14" s="1"/>
  <c r="G19" i="14" s="1"/>
  <c r="F20" i="14" s="1"/>
  <c r="F17" i="14"/>
  <c r="G17" i="14" s="1"/>
  <c r="J19" i="14"/>
  <c r="K19" i="14" s="1"/>
  <c r="I18" i="14"/>
  <c r="H18" i="14" s="1"/>
  <c r="G23" i="7"/>
  <c r="E12" i="11"/>
  <c r="C7" i="11"/>
  <c r="D5" i="11" s="1"/>
  <c r="C11" i="11"/>
  <c r="G17" i="2"/>
  <c r="H17" i="2" s="1"/>
  <c r="G16" i="2"/>
  <c r="H16" i="2" s="1"/>
  <c r="G41" i="7"/>
  <c r="E17" i="7"/>
  <c r="I9" i="7"/>
  <c r="J9" i="7" s="1"/>
  <c r="D19" i="7"/>
  <c r="D14" i="7"/>
  <c r="D13" i="7"/>
  <c r="I16" i="14" l="1"/>
  <c r="H16" i="14" s="1"/>
  <c r="I17" i="14"/>
  <c r="H17" i="14" s="1"/>
  <c r="J17" i="14" s="1"/>
  <c r="K17" i="14" s="1"/>
  <c r="J18" i="14"/>
  <c r="K18" i="14" s="1"/>
  <c r="G20" i="14"/>
  <c r="J20" i="14"/>
  <c r="K20" i="14" s="1"/>
  <c r="F12" i="11"/>
  <c r="D7" i="11"/>
  <c r="E5" i="11" s="1"/>
  <c r="H18" i="2"/>
  <c r="G19" i="2" s="1"/>
  <c r="H19" i="2" s="1"/>
  <c r="G20" i="2" s="1"/>
  <c r="H20" i="2" s="1"/>
  <c r="G18" i="2"/>
  <c r="K9" i="7"/>
  <c r="J10" i="7"/>
  <c r="I8" i="7"/>
  <c r="I10" i="7"/>
  <c r="G13" i="7"/>
  <c r="I15" i="14" l="1"/>
  <c r="H15" i="14" s="1"/>
  <c r="J16" i="14"/>
  <c r="K16" i="14" s="1"/>
  <c r="G12" i="11"/>
  <c r="E7" i="11"/>
  <c r="F5" i="11" s="1"/>
  <c r="E11" i="11"/>
  <c r="D11" i="11"/>
  <c r="J20" i="2"/>
  <c r="K10" i="7"/>
  <c r="L9" i="7"/>
  <c r="I11" i="14" l="1"/>
  <c r="H11" i="14" s="1"/>
  <c r="J15" i="14"/>
  <c r="K15" i="14" s="1"/>
  <c r="I13" i="14"/>
  <c r="H13" i="14" s="1"/>
  <c r="J13" i="14" s="1"/>
  <c r="K13" i="14" s="1"/>
  <c r="I12" i="14"/>
  <c r="H12" i="14" s="1"/>
  <c r="J12" i="14" s="1"/>
  <c r="K12" i="14" s="1"/>
  <c r="I14" i="14"/>
  <c r="H14" i="14" s="1"/>
  <c r="J14" i="14" s="1"/>
  <c r="K14" i="14" s="1"/>
  <c r="H12" i="11"/>
  <c r="F7" i="11"/>
  <c r="G5" i="11" s="1"/>
  <c r="I20" i="2"/>
  <c r="J19" i="2" s="1"/>
  <c r="D32" i="4"/>
  <c r="B32" i="4" s="1"/>
  <c r="L10" i="7"/>
  <c r="M9" i="7"/>
  <c r="G14" i="7"/>
  <c r="I10" i="14" l="1"/>
  <c r="H10" i="14" s="1"/>
  <c r="J10" i="14" s="1"/>
  <c r="K10" i="14" s="1"/>
  <c r="J11" i="14"/>
  <c r="K11" i="14" s="1"/>
  <c r="I12" i="11"/>
  <c r="F11" i="11"/>
  <c r="G7" i="11"/>
  <c r="H5" i="11" s="1"/>
  <c r="I19" i="2"/>
  <c r="J18" i="2" s="1"/>
  <c r="H27" i="4"/>
  <c r="F27" i="4" s="1"/>
  <c r="K20" i="2"/>
  <c r="K19" i="2"/>
  <c r="M10" i="7"/>
  <c r="N9" i="7"/>
  <c r="J12" i="11" l="1"/>
  <c r="G11" i="11"/>
  <c r="H7" i="11"/>
  <c r="I5" i="11" s="1"/>
  <c r="H11" i="11"/>
  <c r="I18" i="2"/>
  <c r="J17" i="2" s="1"/>
  <c r="D27" i="4"/>
  <c r="B27" i="4" s="1"/>
  <c r="K18" i="2"/>
  <c r="O9" i="7"/>
  <c r="N10" i="7"/>
  <c r="G15" i="7"/>
  <c r="K12" i="11" l="1"/>
  <c r="I7" i="11"/>
  <c r="J5" i="11" s="1"/>
  <c r="I11" i="11"/>
  <c r="I17" i="2"/>
  <c r="K17" i="2" s="1"/>
  <c r="H22" i="4"/>
  <c r="F22" i="4" s="1"/>
  <c r="J16" i="2"/>
  <c r="O10" i="7"/>
  <c r="P9" i="7"/>
  <c r="L12" i="11" l="1"/>
  <c r="J7" i="11"/>
  <c r="K5" i="11" s="1"/>
  <c r="I16" i="2"/>
  <c r="D22" i="4"/>
  <c r="B22" i="4" s="1"/>
  <c r="Q9" i="7"/>
  <c r="P8" i="7"/>
  <c r="P10" i="7"/>
  <c r="M12" i="11" l="1"/>
  <c r="N12" i="11"/>
  <c r="J11" i="11"/>
  <c r="K7" i="11"/>
  <c r="L5" i="11" s="1"/>
  <c r="K11" i="11"/>
  <c r="J15" i="2"/>
  <c r="K16" i="2"/>
  <c r="R9" i="7"/>
  <c r="Q10" i="7"/>
  <c r="L7" i="11" l="1"/>
  <c r="M5" i="11" s="1"/>
  <c r="L11" i="11"/>
  <c r="I15" i="2"/>
  <c r="H17" i="4"/>
  <c r="F17" i="4" s="1"/>
  <c r="E12" i="7"/>
  <c r="S9" i="7"/>
  <c r="R10" i="7"/>
  <c r="M7" i="11" l="1"/>
  <c r="N7" i="11" s="1"/>
  <c r="M11" i="11"/>
  <c r="J14" i="2"/>
  <c r="K15" i="2"/>
  <c r="J11" i="2"/>
  <c r="J13" i="2"/>
  <c r="J12" i="2"/>
  <c r="T9" i="7"/>
  <c r="S10" i="7"/>
  <c r="G12" i="7"/>
  <c r="N11" i="11" l="1"/>
  <c r="I14" i="2"/>
  <c r="K14" i="2" s="1"/>
  <c r="D17" i="4"/>
  <c r="B17" i="4" s="1"/>
  <c r="I12" i="2"/>
  <c r="K12" i="2" s="1"/>
  <c r="D12" i="4"/>
  <c r="B12" i="4" s="1"/>
  <c r="I13" i="2"/>
  <c r="K13" i="2" s="1"/>
  <c r="H12" i="4"/>
  <c r="F12" i="4" s="1"/>
  <c r="I11" i="2"/>
  <c r="H7" i="4"/>
  <c r="F7" i="4" s="1"/>
  <c r="G18" i="7"/>
  <c r="T10" i="7"/>
  <c r="U9" i="7"/>
  <c r="K11" i="2" l="1"/>
  <c r="J10" i="2"/>
  <c r="U10" i="7"/>
  <c r="V9" i="7"/>
  <c r="I10" i="2" l="1"/>
  <c r="K10" i="2" s="1"/>
  <c r="D7" i="4"/>
  <c r="B7" i="4" s="1"/>
  <c r="G19" i="7"/>
  <c r="V10" i="7"/>
  <c r="W9" i="7"/>
  <c r="W10" i="7" l="1"/>
  <c r="X9" i="7"/>
  <c r="X10" i="7" s="1"/>
  <c r="W8" i="7"/>
  <c r="Y9" i="7" l="1"/>
  <c r="Z9" i="7" l="1"/>
  <c r="Y10" i="7"/>
  <c r="G21" i="7" l="1"/>
  <c r="G17" i="7" s="1"/>
  <c r="AA9" i="7"/>
  <c r="Z10" i="7"/>
  <c r="AA10" i="7" l="1"/>
  <c r="AB9" i="7"/>
  <c r="AB10" i="7" l="1"/>
  <c r="AC9" i="7"/>
  <c r="AC10" i="7" l="1"/>
  <c r="AD9" i="7"/>
  <c r="AD8" i="7" l="1"/>
  <c r="AD10" i="7"/>
  <c r="AE9" i="7"/>
  <c r="AE10" i="7" l="1"/>
  <c r="AF9" i="7"/>
  <c r="AG9" i="7" l="1"/>
  <c r="AF10" i="7"/>
  <c r="AH9" i="7" l="1"/>
  <c r="AG10" i="7"/>
  <c r="AI9" i="7" l="1"/>
  <c r="AH10" i="7"/>
  <c r="AJ9" i="7" l="1"/>
  <c r="AI10" i="7"/>
  <c r="AJ10" i="7" l="1"/>
  <c r="AK9" i="7"/>
  <c r="AL9" i="7" l="1"/>
  <c r="AK8" i="7"/>
  <c r="AK10" i="7"/>
  <c r="AM9" i="7" l="1"/>
  <c r="AL10" i="7"/>
  <c r="AM10" i="7" l="1"/>
  <c r="AN9" i="7"/>
  <c r="AN10" i="7" l="1"/>
  <c r="AO9" i="7"/>
  <c r="AP9" i="7" l="1"/>
  <c r="AO10" i="7"/>
  <c r="AP10" i="7" l="1"/>
  <c r="AQ9" i="7"/>
  <c r="AQ10" i="7" l="1"/>
  <c r="AR9" i="7"/>
  <c r="AR10" i="7" l="1"/>
  <c r="AS9" i="7"/>
  <c r="AR8" i="7"/>
  <c r="AS10" i="7" l="1"/>
  <c r="AT9" i="7"/>
  <c r="AT10" i="7" l="1"/>
  <c r="AU9" i="7"/>
  <c r="AU10" i="7" l="1"/>
  <c r="AV9" i="7"/>
  <c r="AV10" i="7" l="1"/>
  <c r="AW9" i="7"/>
  <c r="AW10" i="7" l="1"/>
  <c r="AX9" i="7"/>
  <c r="AX10" i="7" l="1"/>
  <c r="AY9" i="7"/>
  <c r="AY8" i="7" l="1"/>
  <c r="AY10" i="7"/>
  <c r="AZ9" i="7"/>
  <c r="BA9" i="7" l="1"/>
  <c r="AZ10" i="7"/>
  <c r="BB9" i="7" l="1"/>
  <c r="BA10" i="7"/>
  <c r="BC9" i="7" l="1"/>
  <c r="BB10" i="7"/>
  <c r="BD9" i="7" l="1"/>
  <c r="BC10" i="7"/>
  <c r="BD10" i="7" l="1"/>
  <c r="BE9" i="7"/>
  <c r="BF9" i="7" s="1"/>
  <c r="BF8" i="7" l="1"/>
  <c r="BG9" i="7"/>
  <c r="BF10" i="7"/>
  <c r="BE10" i="7"/>
  <c r="BH9" i="7" l="1"/>
  <c r="BG10" i="7"/>
  <c r="BI9" i="7" l="1"/>
  <c r="BH10" i="7"/>
  <c r="BJ9" i="7" l="1"/>
  <c r="BI10" i="7"/>
  <c r="BK9" i="7" l="1"/>
  <c r="BJ10" i="7"/>
  <c r="BL9" i="7" l="1"/>
  <c r="BK10" i="7"/>
  <c r="BM9" i="7" l="1"/>
  <c r="BM8" i="7" s="1"/>
  <c r="BL10" i="7"/>
  <c r="BM10" i="7" l="1"/>
  <c r="BN9" i="7"/>
  <c r="BO9" i="7" l="1"/>
  <c r="BN10" i="7"/>
  <c r="BP9" i="7" l="1"/>
  <c r="BO10" i="7"/>
  <c r="BQ9" i="7" l="1"/>
  <c r="BP10" i="7"/>
  <c r="BR9" i="7" l="1"/>
  <c r="BQ10" i="7"/>
  <c r="BS9" i="7" l="1"/>
  <c r="BR10" i="7"/>
  <c r="BS10" i="7" l="1"/>
  <c r="BT9" i="7"/>
  <c r="BT8" i="7" l="1"/>
  <c r="BT10" i="7"/>
  <c r="BU9" i="7"/>
  <c r="BU10" i="7" l="1"/>
  <c r="BV9" i="7"/>
  <c r="BV10" i="7" l="1"/>
  <c r="BW9" i="7"/>
  <c r="BW10" i="7" l="1"/>
  <c r="BX9" i="7"/>
  <c r="BX10" i="7" l="1"/>
  <c r="BY9" i="7"/>
  <c r="BZ9" i="7" l="1"/>
  <c r="BY10" i="7"/>
  <c r="CA9" i="7" l="1"/>
  <c r="BZ10" i="7"/>
  <c r="CA10" i="7" l="1"/>
  <c r="CA8" i="7"/>
  <c r="CB9" i="7"/>
  <c r="CB10" i="7" l="1"/>
  <c r="CC9" i="7"/>
  <c r="CC10" i="7" l="1"/>
  <c r="CD9" i="7"/>
  <c r="CD10" i="7" l="1"/>
  <c r="CE9" i="7"/>
  <c r="CE10" i="7" l="1"/>
  <c r="CF9" i="7"/>
  <c r="CF10" i="7" l="1"/>
  <c r="CG9" i="7"/>
  <c r="CG10" i="7" s="1"/>
</calcChain>
</file>

<file path=xl/sharedStrings.xml><?xml version="1.0" encoding="utf-8"?>
<sst xmlns="http://schemas.openxmlformats.org/spreadsheetml/2006/main" count="465" uniqueCount="216">
  <si>
    <t>WORK BREAKDOWN STRUCTURE</t>
  </si>
  <si>
    <t>PROJECT TITLE</t>
  </si>
  <si>
    <t>START DATE</t>
  </si>
  <si>
    <t>Pet Adoption Website</t>
  </si>
  <si>
    <t>PROJECT MANAGER</t>
  </si>
  <si>
    <t>END DATE</t>
  </si>
  <si>
    <t>PROJECT DURATION</t>
  </si>
  <si>
    <t>ID</t>
  </si>
  <si>
    <t xml:space="preserve">TASK </t>
  </si>
  <si>
    <t>DESCRIPTION</t>
  </si>
  <si>
    <t xml:space="preserve">DURATION </t>
  </si>
  <si>
    <t>COMMENTS</t>
  </si>
  <si>
    <t>Phase 1 - Planning</t>
  </si>
  <si>
    <t>Define Project Scope &amp; Requirements</t>
  </si>
  <si>
    <t>Document project goals, features, and requirements for the pet adoption platform.</t>
  </si>
  <si>
    <t>Create Project Timeline</t>
  </si>
  <si>
    <t>Develop schedule with milestones and deadlines for project completion.</t>
  </si>
  <si>
    <t>Allocate Resources &amp; Team Roles</t>
  </si>
  <si>
    <t>Assign team members to roles and distribute project resources.</t>
  </si>
  <si>
    <t>Phase 2 - Design</t>
  </si>
  <si>
    <t>Research &amp; Analysis</t>
  </si>
  <si>
    <t>Study existing pet adoption platforms and identify user needs.</t>
  </si>
  <si>
    <t>Develop Wireframes &amp; Prototypes</t>
  </si>
  <si>
    <t>Create basic layout designs and clickable prototypes.</t>
  </si>
  <si>
    <t>Design Website Layout &amp; UI</t>
  </si>
  <si>
    <t>Design user interface elements and page layouts.</t>
  </si>
  <si>
    <t xml:space="preserve">Create Branding Elements </t>
  </si>
  <si>
    <t>Design logo, select colors, and establish visual identity.</t>
  </si>
  <si>
    <t>Phase 3 - Development</t>
  </si>
  <si>
    <t>Set Up Development Environment</t>
  </si>
  <si>
    <t>Configure development tools, servers, and databases.</t>
  </si>
  <si>
    <t>Backend Development</t>
  </si>
  <si>
    <t>Build server-side functionality and database structure</t>
  </si>
  <si>
    <t>Frontend Development</t>
  </si>
  <si>
    <t>Create user interface and implement responsive design.</t>
  </si>
  <si>
    <t>Phase 4 - Testing and Demo</t>
  </si>
  <si>
    <t>Functional Testing</t>
  </si>
  <si>
    <t>Test all platform features and functionality.</t>
  </si>
  <si>
    <t>User Acceptance Test UAT</t>
  </si>
  <si>
    <t>Conduct testing with sample users to validate platform.</t>
  </si>
  <si>
    <t>Bug Fixing &amp; Re-testing</t>
  </si>
  <si>
    <t>Fix identified issues and perform regression testing</t>
  </si>
  <si>
    <t>Demonstration</t>
  </si>
  <si>
    <t>Present completed platform to stakeholders.</t>
  </si>
  <si>
    <t>PHASE 3</t>
  </si>
  <si>
    <t>Development</t>
  </si>
  <si>
    <t>LEAD</t>
  </si>
  <si>
    <t>PHASE DURATION</t>
  </si>
  <si>
    <t>Account Management</t>
  </si>
  <si>
    <t>3.1.1</t>
  </si>
  <si>
    <t>Edit Profile Name</t>
  </si>
  <si>
    <t>Allow users to update their display name on their account.</t>
  </si>
  <si>
    <t>3.1.2</t>
  </si>
  <si>
    <t>Edit Picture</t>
  </si>
  <si>
    <t>Enable users to upload and change their profile picture.</t>
  </si>
  <si>
    <t>3.1.3</t>
  </si>
  <si>
    <t>Change Password</t>
  </si>
  <si>
    <t>Provide functionality for users to update their account password securely.</t>
  </si>
  <si>
    <t>Pet Browsing</t>
  </si>
  <si>
    <t>3.2.1</t>
  </si>
  <si>
    <t>Browsing</t>
  </si>
  <si>
    <t>Display a grid/list view of available pets for adoption.</t>
  </si>
  <si>
    <t>3.2.2</t>
  </si>
  <si>
    <t>Filtering and Searching</t>
  </si>
  <si>
    <t>Enable users to search pets by criteria like breed, location.</t>
  </si>
  <si>
    <t>3.2.3</t>
  </si>
  <si>
    <t>Accessing Pet Details</t>
  </si>
  <si>
    <t>View information about individual pets including photos and descriptions.</t>
  </si>
  <si>
    <t>Pet Management</t>
  </si>
  <si>
    <t>3.3.1</t>
  </si>
  <si>
    <t>Uploading Pet</t>
  </si>
  <si>
    <t>Allow staff to add new pets to the adoption platform</t>
  </si>
  <si>
    <t>3.3.2</t>
  </si>
  <si>
    <t>Deleting Pet</t>
  </si>
  <si>
    <t>Enable removal of pet listings once they're adopted or no longer available.</t>
  </si>
  <si>
    <t>3.3.3</t>
  </si>
  <si>
    <t>Editing Pet Information</t>
  </si>
  <si>
    <t>Update pet details, photos, and adoption status</t>
  </si>
  <si>
    <t>Authentication</t>
  </si>
  <si>
    <t>3.4.1</t>
  </si>
  <si>
    <t>Login</t>
  </si>
  <si>
    <t>Securely access user accounts with email/username and password.</t>
  </si>
  <si>
    <t>3.4.2</t>
  </si>
  <si>
    <t>Registration</t>
  </si>
  <si>
    <t>Create new user accounts with basic profile information.</t>
  </si>
  <si>
    <t>GANTT CHART</t>
  </si>
  <si>
    <t>DISPLAY WEEK</t>
  </si>
  <si>
    <t>TASK</t>
  </si>
  <si>
    <t>DAYS</t>
  </si>
  <si>
    <t/>
  </si>
  <si>
    <t>Ian</t>
  </si>
  <si>
    <t>Testing and Demo</t>
  </si>
  <si>
    <t>SCHEDULING TASK</t>
  </si>
  <si>
    <t>TASK DURATION</t>
  </si>
  <si>
    <t>ACTIVITY</t>
  </si>
  <si>
    <t>PREDECESSOR</t>
  </si>
  <si>
    <t>DURATION</t>
  </si>
  <si>
    <t>RESPON</t>
  </si>
  <si>
    <t>ES</t>
  </si>
  <si>
    <t>EF</t>
  </si>
  <si>
    <t>LS</t>
  </si>
  <si>
    <t>LF</t>
  </si>
  <si>
    <t>SLACK</t>
  </si>
  <si>
    <t>CRITICAL</t>
  </si>
  <si>
    <t>Activity Description</t>
  </si>
  <si>
    <t>Develop Pet model in back-end</t>
  </si>
  <si>
    <t>Develop POST endpoint for pet</t>
  </si>
  <si>
    <t>1</t>
  </si>
  <si>
    <t>R</t>
  </si>
  <si>
    <t>D</t>
  </si>
  <si>
    <t>Develop DELETE endpoint for pet</t>
  </si>
  <si>
    <t>Develop PUT endpoint for pet</t>
  </si>
  <si>
    <t>Develop GET endpoint for pet</t>
  </si>
  <si>
    <t>Earliest Start</t>
  </si>
  <si>
    <t>Handle image saving and deleting</t>
  </si>
  <si>
    <t>2, 3, 4, 5</t>
  </si>
  <si>
    <t>Earliest Finish</t>
  </si>
  <si>
    <t>Testing backend</t>
  </si>
  <si>
    <t>6</t>
  </si>
  <si>
    <t>Tommy</t>
  </si>
  <si>
    <t>Latest Start</t>
  </si>
  <si>
    <t>Wireframe for pet management layout</t>
  </si>
  <si>
    <t>Upul</t>
  </si>
  <si>
    <t>Latest Finish</t>
  </si>
  <si>
    <t>Develop front-end interfaces and forms</t>
  </si>
  <si>
    <t>7, 8</t>
  </si>
  <si>
    <t>Activity Number</t>
  </si>
  <si>
    <t>Integrating front-end with back-end</t>
  </si>
  <si>
    <t>9</t>
  </si>
  <si>
    <t>Estimated Duration</t>
  </si>
  <si>
    <t>Testing integration</t>
  </si>
  <si>
    <t>10</t>
  </si>
  <si>
    <t>Responsible Person</t>
  </si>
  <si>
    <t>SCHEDULE NETWORK DIAGRAM</t>
  </si>
  <si>
    <t>Sprint Breakdown (Focused Themes)</t>
  </si>
  <si>
    <t>Sprint</t>
  </si>
  <si>
    <t>Theme</t>
  </si>
  <si>
    <t>User Story</t>
  </si>
  <si>
    <t>Priority</t>
  </si>
  <si>
    <t>Status</t>
  </si>
  <si>
    <t>Components</t>
  </si>
  <si>
    <t>Sprint 1</t>
  </si>
  <si>
    <t>As a pet owner, I want to add new pets to the system</t>
  </si>
  <si>
    <t>High</t>
  </si>
  <si>
    <t>Done</t>
  </si>
  <si>
    <t>PetController, ManagementDashboard</t>
  </si>
  <si>
    <t>As a pet owner, I want to edit my pet listings</t>
  </si>
  <si>
    <t>As a pet owner, I want to delete my pet listings</t>
  </si>
  <si>
    <t>As a user, I want to view all pets up for adoption in a single web page.</t>
  </si>
  <si>
    <t>Medium</t>
  </si>
  <si>
    <t>PetController, SimplePetDTO</t>
  </si>
  <si>
    <t>Sprint 2</t>
  </si>
  <si>
    <t>As a user, I want to create an account</t>
  </si>
  <si>
    <t>UserController, UserRepository</t>
  </si>
  <si>
    <t>As a user, I want to login to my account</t>
  </si>
  <si>
    <t>LoginController, AuthenticationService</t>
  </si>
  <si>
    <t>As a system, I want to encrypt passwords</t>
  </si>
  <si>
    <t>PasswordEncrypter</t>
  </si>
  <si>
    <t>Sprint 3</t>
  </si>
  <si>
    <t>Enhancements</t>
  </si>
  <si>
    <t>As a user, I want to filter pets by type/size/location</t>
  </si>
  <si>
    <t>To Do</t>
  </si>
  <si>
    <t>PetRepository</t>
  </si>
  <si>
    <t>As a user, I want to view detailed pet profiles to learn more about potential adoptees. 
Acceptance Criteria:</t>
  </si>
  <si>
    <t>DetailedPetDTO</t>
  </si>
  <si>
    <t>As a user, I want to view and give ratings for the shelters based on the experience of adopting.</t>
  </si>
  <si>
    <t>Frontend components</t>
  </si>
  <si>
    <t>As a user, I want to inquire about pets I'm interested in adopting.</t>
  </si>
  <si>
    <t>US1 - Registration</t>
  </si>
  <si>
    <t>US2 - Login</t>
  </si>
  <si>
    <t>US3 - Uploading Pet</t>
  </si>
  <si>
    <t>US4 - Deleting Pet</t>
  </si>
  <si>
    <t>US5 - Editing Pet</t>
  </si>
  <si>
    <t>US6 - Guest Browsing</t>
  </si>
  <si>
    <t>US7 - Filtering and Searching</t>
  </si>
  <si>
    <t>US8 - Pet Inquiries</t>
  </si>
  <si>
    <t>US10 - Edit Profile Name and Details</t>
  </si>
  <si>
    <t>US11 - Change Password</t>
  </si>
  <si>
    <t>Low</t>
  </si>
  <si>
    <t>US12 - Edit Profile Picture</t>
  </si>
  <si>
    <t>US9 - Shelter Rating System</t>
  </si>
  <si>
    <t>Year 2</t>
  </si>
  <si>
    <t>Month Number</t>
  </si>
  <si>
    <t>Active Registrations - Opening</t>
  </si>
  <si>
    <t>Net Addition</t>
  </si>
  <si>
    <t>Active Registrations - Closing</t>
  </si>
  <si>
    <t>Subscription Rate</t>
  </si>
  <si>
    <t>Revenue</t>
  </si>
  <si>
    <t>Website Hosting and Maintenance Cost</t>
  </si>
  <si>
    <t>Sales and Marketing Cost</t>
  </si>
  <si>
    <t>Profit</t>
  </si>
  <si>
    <t>Assumptions</t>
  </si>
  <si>
    <t>Running cost of the Website per month</t>
  </si>
  <si>
    <t>Average net addition for 1-3 months</t>
  </si>
  <si>
    <t>Average net addition for 4 month onwards</t>
  </si>
  <si>
    <t>Sales and Marketing Investment</t>
  </si>
  <si>
    <t>3 Months</t>
  </si>
  <si>
    <t>Edit Profile</t>
  </si>
  <si>
    <t>Domain Analysis &amp; Requirements</t>
  </si>
  <si>
    <t>Allocate Resources</t>
  </si>
  <si>
    <t>System Design &amp; Development</t>
  </si>
  <si>
    <t>SafeSight</t>
  </si>
  <si>
    <t>Sandali Silva</t>
  </si>
  <si>
    <t>Backend API Development</t>
  </si>
  <si>
    <t>Authentication &amp; Role Management</t>
  </si>
  <si>
    <t>WorkSafeBC Report Automation</t>
  </si>
  <si>
    <t xml:space="preserve">Data Collection &amp; Cleaning </t>
  </si>
  <si>
    <t>Feature Engineering &amp; Data Prep</t>
  </si>
  <si>
    <t>Predictive Model Development</t>
  </si>
  <si>
    <t>Model Training &amp; Validation</t>
  </si>
  <si>
    <t>Prediction API Integration</t>
  </si>
  <si>
    <t>Dashboard</t>
  </si>
  <si>
    <t xml:space="preserve"> Visualizations </t>
  </si>
  <si>
    <t>Demonstration &amp; Submission</t>
  </si>
  <si>
    <t>Report Generation</t>
  </si>
  <si>
    <t>HR departmental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</si>
</sst>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"/>
    <numFmt numFmtId="165" formatCode="#,##0;\(#,##0\)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rgb="FF20124D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name val="Arial"/>
      <family val="2"/>
      <scheme val="major"/>
    </font>
    <font>
      <sz val="10"/>
      <color rgb="FF20124D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10"/>
      <color rgb="FFFFFFFF"/>
      <name val="Arial"/>
      <family val="2"/>
      <scheme val="major"/>
    </font>
    <font>
      <sz val="10"/>
      <color rgb="FFFFFFFF"/>
      <name val="Arial"/>
      <family val="2"/>
      <scheme val="major"/>
    </font>
    <font>
      <b/>
      <sz val="10"/>
      <color theme="0"/>
      <name val="Arial"/>
      <family val="2"/>
      <scheme val="maj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4" tint="-0.249977111117893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rgb="FF3D85C6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4" fillId="0" borderId="6" xfId="0" applyFont="1" applyBorder="1"/>
    <xf numFmtId="0" fontId="1" fillId="0" borderId="7" xfId="0" applyFont="1" applyBorder="1" applyAlignment="1">
      <alignment horizontal="center"/>
    </xf>
    <xf numFmtId="0" fontId="5" fillId="0" borderId="8" xfId="0" applyFont="1" applyBorder="1"/>
    <xf numFmtId="0" fontId="1" fillId="0" borderId="7" xfId="0" applyFont="1" applyBorder="1"/>
    <xf numFmtId="0" fontId="9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right" vertical="center"/>
    </xf>
    <xf numFmtId="0" fontId="7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4" fillId="0" borderId="6" xfId="0" applyNumberFormat="1" applyFont="1" applyBorder="1"/>
    <xf numFmtId="0" fontId="3" fillId="0" borderId="0" xfId="0" applyFont="1"/>
    <xf numFmtId="0" fontId="2" fillId="0" borderId="8" xfId="0" applyFont="1" applyBorder="1"/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6" xfId="0" applyFont="1" applyBorder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lef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quotePrefix="1" applyFont="1"/>
    <xf numFmtId="0" fontId="7" fillId="0" borderId="12" xfId="0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165" fontId="0" fillId="0" borderId="0" xfId="0" applyNumberFormat="1"/>
    <xf numFmtId="165" fontId="13" fillId="0" borderId="0" xfId="0" applyNumberFormat="1" applyFont="1"/>
    <xf numFmtId="165" fontId="13" fillId="0" borderId="0" xfId="1" applyNumberFormat="1" applyFont="1"/>
    <xf numFmtId="165" fontId="13" fillId="0" borderId="24" xfId="0" applyNumberFormat="1" applyFont="1" applyBorder="1"/>
    <xf numFmtId="0" fontId="10" fillId="2" borderId="25" xfId="0" applyFont="1" applyFill="1" applyBorder="1" applyAlignment="1">
      <alignment horizontal="right"/>
    </xf>
    <xf numFmtId="0" fontId="10" fillId="2" borderId="25" xfId="0" applyFont="1" applyFill="1" applyBorder="1"/>
    <xf numFmtId="49" fontId="10" fillId="2" borderId="25" xfId="0" applyNumberFormat="1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2" fillId="0" borderId="25" xfId="0" applyFont="1" applyBorder="1" applyAlignment="1">
      <alignment horizontal="right"/>
    </xf>
    <xf numFmtId="0" fontId="2" fillId="0" borderId="25" xfId="0" applyFont="1" applyBorder="1"/>
    <xf numFmtId="49" fontId="2" fillId="0" borderId="25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5" xfId="0" applyFont="1" applyBorder="1" applyAlignment="1">
      <alignment wrapText="1"/>
    </xf>
    <xf numFmtId="49" fontId="2" fillId="0" borderId="25" xfId="0" applyNumberFormat="1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4" fillId="0" borderId="0" xfId="0" applyFont="1" applyAlignment="1">
      <alignment wrapText="1"/>
    </xf>
    <xf numFmtId="0" fontId="1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 indent="1"/>
    </xf>
    <xf numFmtId="15" fontId="8" fillId="3" borderId="2" xfId="0" applyNumberFormat="1" applyFont="1" applyFill="1" applyBorder="1" applyAlignment="1">
      <alignment horizontal="center" vertical="center"/>
    </xf>
    <xf numFmtId="15" fontId="5" fillId="4" borderId="3" xfId="0" applyNumberFormat="1" applyFont="1" applyFill="1" applyBorder="1" applyAlignment="1">
      <alignment horizontal="center"/>
    </xf>
    <xf numFmtId="15" fontId="5" fillId="4" borderId="4" xfId="0" applyNumberFormat="1" applyFont="1" applyFill="1" applyBorder="1" applyAlignment="1">
      <alignment horizont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4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A0C4A7D-87B4-42FC-B473-86E796E6DB38}" type="doc">
      <dgm:prSet loTypeId="urn:microsoft.com/office/officeart/2005/8/layout/orgChart1" loCatId="hierarchy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CA"/>
        </a:p>
      </dgm:t>
    </dgm:pt>
    <dgm:pt modelId="{3D4AA21C-8618-4D88-ADD2-82497DC1C3C8}">
      <dgm:prSet phldrT="[Text]" custT="1"/>
      <dgm:spPr>
        <a:solidFill>
          <a:schemeClr val="accent6">
            <a:lumMod val="50000"/>
          </a:schemeClr>
        </a:solidFill>
      </dgm:spPr>
      <dgm:t>
        <a:bodyPr/>
        <a:lstStyle/>
        <a:p>
          <a:r>
            <a:rPr lang="en-CA" sz="1000" b="1" dirty="0">
              <a:solidFill>
                <a:schemeClr val="bg1"/>
              </a:solidFill>
              <a:effectLst/>
              <a:latin typeface="+mn-lt"/>
              <a:ea typeface="+mn-ea"/>
              <a:cs typeface="Iskoola Pota" panose="020B0502040204020203" pitchFamily="34" charset="0"/>
            </a:rPr>
            <a:t>Pet Adoption Website - Phase 1</a:t>
          </a:r>
          <a:endParaRPr lang="en-CA" sz="1000" b="1">
            <a:solidFill>
              <a:schemeClr val="bg1"/>
            </a:solidFill>
            <a:latin typeface="+mn-lt"/>
            <a:ea typeface="+mn-ea"/>
          </a:endParaRPr>
        </a:p>
      </dgm:t>
    </dgm:pt>
    <dgm:pt modelId="{55DD5BB0-27D4-4C12-9A68-2D22B56B3DB9}" type="par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BA36D946-1E1C-4B8A-8920-C56DB42187D5}" type="sib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A5AE3037-5CDE-48B1-980D-BF755907F721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1. Planning</a:t>
          </a:r>
        </a:p>
      </dgm:t>
    </dgm:pt>
    <dgm:pt modelId="{E2EA3DBF-0B05-4BE9-80CF-CD8065633172}" type="parTrans" cxnId="{E12D52B8-7AF8-41E4-8169-4569F54348E5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4B6C03A1-DC02-49AD-83B0-4E4E3C4E4627}" type="sibTrans" cxnId="{E12D52B8-7AF8-41E4-8169-4569F54348E5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1007B6F3-05BC-4F7A-8E1A-37C08373F646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2. Design</a:t>
          </a:r>
        </a:p>
      </dgm:t>
    </dgm:pt>
    <dgm:pt modelId="{DC323120-D202-4A8E-953D-322761F16AE2}" type="parTrans" cxnId="{E36013EA-09C0-49C1-8A23-0972C103C6B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228E9085-F602-4C47-9F8C-5187B1EC5A82}" type="sibTrans" cxnId="{E36013EA-09C0-49C1-8A23-0972C103C6B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B850433-3650-48AA-859B-F06BE9D5D2A1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 Pet Management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B0DE2BE-30B8-41A2-9742-9F7D501ABEE0}" type="parTrans" cxnId="{5E97D352-E701-45B2-AC47-7FC0773CA41F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10704553-64AA-4B37-B0EC-C2F455ECB4C5}" type="sibTrans" cxnId="{5E97D352-E701-45B2-AC47-7FC0773CA41F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F69D1FAD-E8C8-4443-9C53-33D08E3DE8CE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 Development</a:t>
          </a:r>
        </a:p>
      </dgm:t>
    </dgm:pt>
    <dgm:pt modelId="{474A8C66-2F0D-4397-874A-DDCABFDC54EB}" type="parTrans" cxnId="{F56F7FBB-D02E-4B82-A727-8F1A3DE0EADA}">
      <dgm:prSet/>
      <dgm:spPr/>
      <dgm:t>
        <a:bodyPr/>
        <a:lstStyle/>
        <a:p>
          <a:endParaRPr lang="en-CA"/>
        </a:p>
      </dgm:t>
    </dgm:pt>
    <dgm:pt modelId="{F2361F06-5F23-4E4E-93B2-3A55630A94F3}" type="sibTrans" cxnId="{F56F7FBB-D02E-4B82-A727-8F1A3DE0EADA}">
      <dgm:prSet/>
      <dgm:spPr/>
      <dgm:t>
        <a:bodyPr/>
        <a:lstStyle/>
        <a:p>
          <a:endParaRPr lang="en-CA"/>
        </a:p>
      </dgm:t>
    </dgm:pt>
    <dgm:pt modelId="{9BC8CF51-76E1-439F-B56B-8E033A2D208A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2.4. Create Branding Elements 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4885AE7B-142E-47E1-9F50-1EE0928EE6FD}" type="parTrans" cxnId="{22DD7BAC-F9DF-411B-88E6-720DFA01CEE2}">
      <dgm:prSet/>
      <dgm:spPr/>
      <dgm:t>
        <a:bodyPr/>
        <a:lstStyle/>
        <a:p>
          <a:endParaRPr lang="en-CA"/>
        </a:p>
      </dgm:t>
    </dgm:pt>
    <dgm:pt modelId="{C2970C0B-7658-4D87-B3E6-1A6F4D309343}" type="sibTrans" cxnId="{22DD7BAC-F9DF-411B-88E6-720DFA01CEE2}">
      <dgm:prSet/>
      <dgm:spPr/>
      <dgm:t>
        <a:bodyPr/>
        <a:lstStyle/>
        <a:p>
          <a:endParaRPr lang="en-CA"/>
        </a:p>
      </dgm:t>
    </dgm:pt>
    <dgm:pt modelId="{E1F4505A-4BA8-40DB-A4F8-8AA5CAD0CD52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4.4. Demonstration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DF1228FD-2C6E-4CA0-AE0A-C99AA41C5F56}" type="parTrans" cxnId="{74C4A537-2168-494E-9121-5F78FCFA4DC4}">
      <dgm:prSet/>
      <dgm:spPr/>
      <dgm:t>
        <a:bodyPr/>
        <a:lstStyle/>
        <a:p>
          <a:endParaRPr lang="en-CA"/>
        </a:p>
      </dgm:t>
    </dgm:pt>
    <dgm:pt modelId="{9C77ACA7-D8D5-4CBC-9B6D-C3BE0C02E19E}" type="sibTrans" cxnId="{74C4A537-2168-494E-9121-5F78FCFA4DC4}">
      <dgm:prSet/>
      <dgm:spPr/>
      <dgm:t>
        <a:bodyPr/>
        <a:lstStyle/>
        <a:p>
          <a:endParaRPr lang="en-CA"/>
        </a:p>
      </dgm:t>
    </dgm:pt>
    <dgm:pt modelId="{882B9642-DB5D-4415-8141-174046543928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2.1. Research &amp; Analysis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1768B429-B295-4E12-A4E5-2959760A26BB}" type="parTrans" cxnId="{26035A75-A7B8-481A-9B7C-A1DD774E82AB}">
      <dgm:prSet/>
      <dgm:spPr/>
      <dgm:t>
        <a:bodyPr/>
        <a:lstStyle/>
        <a:p>
          <a:endParaRPr lang="en-CA"/>
        </a:p>
      </dgm:t>
    </dgm:pt>
    <dgm:pt modelId="{CEF1BA8D-8962-4916-A848-7A69DE1F430D}" type="sibTrans" cxnId="{26035A75-A7B8-481A-9B7C-A1DD774E82AB}">
      <dgm:prSet/>
      <dgm:spPr/>
      <dgm:t>
        <a:bodyPr/>
        <a:lstStyle/>
        <a:p>
          <a:endParaRPr lang="en-CA"/>
        </a:p>
      </dgm:t>
    </dgm:pt>
    <dgm:pt modelId="{8B0EAEC7-B4D5-4CF1-85E4-FC7CBAB245A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2.2. Develop Wireframes &amp; Prototypes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FA1804DE-9856-4A08-B6E3-E8E7C1EC73C0}" type="parTrans" cxnId="{6ED3C603-97B0-4752-B216-DC9E87E399A5}">
      <dgm:prSet/>
      <dgm:spPr/>
      <dgm:t>
        <a:bodyPr/>
        <a:lstStyle/>
        <a:p>
          <a:endParaRPr lang="en-CA"/>
        </a:p>
      </dgm:t>
    </dgm:pt>
    <dgm:pt modelId="{00DA78FB-7979-4ADC-A1E7-89CD20DF37F4}" type="sibTrans" cxnId="{6ED3C603-97B0-4752-B216-DC9E87E399A5}">
      <dgm:prSet/>
      <dgm:spPr/>
      <dgm:t>
        <a:bodyPr/>
        <a:lstStyle/>
        <a:p>
          <a:endParaRPr lang="en-CA"/>
        </a:p>
      </dgm:t>
    </dgm:pt>
    <dgm:pt modelId="{0202D3B0-F039-4A45-9B54-52DE61CC6EBF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2.3. Design Website Layout &amp; UI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DA5B83C-D6D6-4F7C-810E-D00E25F2DA99}" type="parTrans" cxnId="{9462EE48-C752-4738-8121-7C5F5D8E3EA9}">
      <dgm:prSet/>
      <dgm:spPr/>
      <dgm:t>
        <a:bodyPr/>
        <a:lstStyle/>
        <a:p>
          <a:endParaRPr lang="en-CA"/>
        </a:p>
      </dgm:t>
    </dgm:pt>
    <dgm:pt modelId="{B9F88689-25EB-4604-9BE4-089FAC838E94}" type="sibTrans" cxnId="{9462EE48-C752-4738-8121-7C5F5D8E3EA9}">
      <dgm:prSet/>
      <dgm:spPr/>
      <dgm:t>
        <a:bodyPr/>
        <a:lstStyle/>
        <a:p>
          <a:endParaRPr lang="en-CA"/>
        </a:p>
      </dgm:t>
    </dgm:pt>
    <dgm:pt modelId="{367DA472-A6B5-4A65-AA92-ABD67FD1CC0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 Pet Browing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190B60C-4242-4AB8-BE76-B364159818C9}" type="parTrans" cxnId="{CFCB7A42-AF82-45F9-9001-D0C2BA0C1D68}">
      <dgm:prSet/>
      <dgm:spPr/>
      <dgm:t>
        <a:bodyPr/>
        <a:lstStyle/>
        <a:p>
          <a:endParaRPr lang="en-CA"/>
        </a:p>
      </dgm:t>
    </dgm:pt>
    <dgm:pt modelId="{15DB7952-266A-46BB-A9FF-6186DD342E36}" type="sibTrans" cxnId="{CFCB7A42-AF82-45F9-9001-D0C2BA0C1D68}">
      <dgm:prSet/>
      <dgm:spPr/>
      <dgm:t>
        <a:bodyPr/>
        <a:lstStyle/>
        <a:p>
          <a:endParaRPr lang="en-CA"/>
        </a:p>
      </dgm:t>
    </dgm:pt>
    <dgm:pt modelId="{BAD477F3-63B5-42EE-B3B5-05689244E517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 Authentication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A3C9C18B-9E10-4A65-87A8-C6D2F29C4622}" type="parTrans" cxnId="{9B2D7A24-DB78-4C8D-88B7-D2C0CE2B8877}">
      <dgm:prSet/>
      <dgm:spPr/>
      <dgm:t>
        <a:bodyPr/>
        <a:lstStyle/>
        <a:p>
          <a:endParaRPr lang="en-CA"/>
        </a:p>
      </dgm:t>
    </dgm:pt>
    <dgm:pt modelId="{81F2F3B1-1E4B-4A1D-937B-28A35B243ECF}" type="sibTrans" cxnId="{9B2D7A24-DB78-4C8D-88B7-D2C0CE2B8877}">
      <dgm:prSet/>
      <dgm:spPr/>
      <dgm:t>
        <a:bodyPr/>
        <a:lstStyle/>
        <a:p>
          <a:endParaRPr lang="en-CA"/>
        </a:p>
      </dgm:t>
    </dgm:pt>
    <dgm:pt modelId="{ED054F05-DECF-448A-832E-B98612B081A1}">
      <dgm:prSet phldrT="[Text]" custT="1"/>
      <dgm:spPr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350" tIns="6350" rIns="6350" bIns="6350" numCol="1" spcCol="1270" anchor="ctr" anchorCtr="0"/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4. Testing and Demo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59A86B6-2F79-4936-8581-07D0B45049CD}" type="parTrans" cxnId="{426D991C-BC7B-4286-A3EF-54B92D418A56}">
      <dgm:prSet/>
      <dgm:spPr/>
      <dgm:t>
        <a:bodyPr/>
        <a:lstStyle/>
        <a:p>
          <a:endParaRPr lang="en-CA"/>
        </a:p>
      </dgm:t>
    </dgm:pt>
    <dgm:pt modelId="{5E0090F4-BA9F-4822-A5B4-2C1E9396E774}" type="sibTrans" cxnId="{426D991C-BC7B-4286-A3EF-54B92D418A56}">
      <dgm:prSet/>
      <dgm:spPr/>
      <dgm:t>
        <a:bodyPr/>
        <a:lstStyle/>
        <a:p>
          <a:endParaRPr lang="en-CA"/>
        </a:p>
      </dgm:t>
    </dgm:pt>
    <dgm:pt modelId="{728EF172-F1A2-4630-ACBD-09151A8D42E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4.1. Functional Testing 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E0E28DCF-A5AB-4C9B-8D6E-5C57C3D6B80D}" type="parTrans" cxnId="{DDD991E8-0698-44E8-A37F-6B5F05ED00D4}">
      <dgm:prSet/>
      <dgm:spPr/>
      <dgm:t>
        <a:bodyPr/>
        <a:lstStyle/>
        <a:p>
          <a:endParaRPr lang="en-CA"/>
        </a:p>
      </dgm:t>
    </dgm:pt>
    <dgm:pt modelId="{06896C4B-0AE3-4711-993A-9BB0A56EB6F2}" type="sibTrans" cxnId="{DDD991E8-0698-44E8-A37F-6B5F05ED00D4}">
      <dgm:prSet/>
      <dgm:spPr/>
      <dgm:t>
        <a:bodyPr/>
        <a:lstStyle/>
        <a:p>
          <a:endParaRPr lang="en-CA"/>
        </a:p>
      </dgm:t>
    </dgm:pt>
    <dgm:pt modelId="{66822BD2-E0EA-4B23-8515-68CA5DAF36F2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4.2. User Acceptance Test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CA170EC8-BD45-473C-9A48-D8E4B862E170}" type="parTrans" cxnId="{FCB5A58B-E24A-469E-A23E-5C47ED6D1DBE}">
      <dgm:prSet/>
      <dgm:spPr/>
      <dgm:t>
        <a:bodyPr/>
        <a:lstStyle/>
        <a:p>
          <a:endParaRPr lang="en-CA"/>
        </a:p>
      </dgm:t>
    </dgm:pt>
    <dgm:pt modelId="{9E76F400-F081-40C5-B061-15C7F717FAD8}" type="sibTrans" cxnId="{FCB5A58B-E24A-469E-A23E-5C47ED6D1DBE}">
      <dgm:prSet/>
      <dgm:spPr/>
      <dgm:t>
        <a:bodyPr/>
        <a:lstStyle/>
        <a:p>
          <a:endParaRPr lang="en-CA"/>
        </a:p>
      </dgm:t>
    </dgm:pt>
    <dgm:pt modelId="{1A71B215-4DB9-4CB5-B582-BBADA823F791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4.3. Bug Fixing &amp; Re-testing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AA47E5F8-22DB-44AD-8B74-4C34F69629B7}" type="parTrans" cxnId="{DA3982FC-4740-425C-ACA7-E517BC4F3B22}">
      <dgm:prSet/>
      <dgm:spPr/>
      <dgm:t>
        <a:bodyPr/>
        <a:lstStyle/>
        <a:p>
          <a:endParaRPr lang="en-CA"/>
        </a:p>
      </dgm:t>
    </dgm:pt>
    <dgm:pt modelId="{8A90C784-8059-473D-837C-490CF9149445}" type="sibTrans" cxnId="{DA3982FC-4740-425C-ACA7-E517BC4F3B22}">
      <dgm:prSet/>
      <dgm:spPr/>
      <dgm:t>
        <a:bodyPr/>
        <a:lstStyle/>
        <a:p>
          <a:endParaRPr lang="en-CA"/>
        </a:p>
      </dgm:t>
    </dgm:pt>
    <dgm:pt modelId="{F56A11B0-F829-4403-B03B-66574A081A1D}">
      <dgm:prSet phldrT="[Text]" custT="1"/>
      <dgm:spPr>
        <a:solidFill>
          <a:schemeClr val="accent4">
            <a:lumMod val="60000"/>
            <a:lumOff val="40000"/>
          </a:schemeClr>
        </a:solidFill>
      </dgm:spPr>
      <dgm:t>
        <a:bodyPr lIns="108000" tIns="72000" rIns="36000" bIns="72000"/>
        <a:lstStyle/>
        <a:p>
          <a:pPr algn="l"/>
          <a:r>
            <a:rPr lang="en-GB" sz="1000" dirty="0">
              <a:solidFill>
                <a:sysClr val="windowText" lastClr="000000"/>
              </a:solidFill>
            </a:rPr>
            <a:t>1.1. Define Project Scope &amp; Requirements</a:t>
          </a:r>
          <a:endParaRPr lang="en-CA" sz="1000">
            <a:solidFill>
              <a:sysClr val="windowText" lastClr="000000"/>
            </a:solidFill>
            <a:latin typeface="+mn-lt"/>
          </a:endParaRPr>
        </a:p>
      </dgm:t>
    </dgm:pt>
    <dgm:pt modelId="{1795EB77-CC6C-4AC9-AEB9-E8649F4A642D}" type="sibTrans" cxnId="{348ADE71-4DE7-4FC4-8AD4-2C3B295510A4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3EE6172B-B803-440C-92DD-765D3BC6ACDB}" type="parTrans" cxnId="{348ADE71-4DE7-4FC4-8AD4-2C3B295510A4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5CAD7F8E-2D4B-494E-A9B3-8662F2F1C87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1.3. Allocate Resources &amp; Team Roles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93E730C-51B3-4EB3-A4BB-C31B5045F139}" type="sibTrans" cxnId="{2A34B621-429B-41E7-8116-28E63095749A}">
      <dgm:prSet/>
      <dgm:spPr/>
      <dgm:t>
        <a:bodyPr/>
        <a:lstStyle/>
        <a:p>
          <a:endParaRPr lang="en-CA"/>
        </a:p>
      </dgm:t>
    </dgm:pt>
    <dgm:pt modelId="{A716377B-5CE5-4BB0-887C-C66ADEDEFCD0}" type="parTrans" cxnId="{2A34B621-429B-41E7-8116-28E63095749A}">
      <dgm:prSet/>
      <dgm:spPr/>
      <dgm:t>
        <a:bodyPr/>
        <a:lstStyle/>
        <a:p>
          <a:endParaRPr lang="en-CA"/>
        </a:p>
      </dgm:t>
    </dgm:pt>
    <dgm:pt modelId="{2FFF8319-69F4-486B-882F-5B37384F126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1.2. Create Project Timeline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D29A0EC-B56A-4231-9A14-54A739D4E7C0}" type="sibTrans" cxnId="{4A9D80B2-A778-4F3C-BF32-893B6F3B935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ECF0464-F6E6-4CE3-8866-0ED853614CC9}" type="parTrans" cxnId="{4A9D80B2-A778-4F3C-BF32-893B6F3B935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3C4C5D30-0EF7-4DEB-A515-56AD53EECC8E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 Account Management</a:t>
          </a:r>
        </a:p>
      </dgm:t>
    </dgm:pt>
    <dgm:pt modelId="{08563A5C-3D65-4FB4-A0E1-BB3A09C1EE2E}" type="parTrans" cxnId="{0E9EBF6F-6BD8-4505-A180-4B35B02D943F}">
      <dgm:prSet/>
      <dgm:spPr/>
      <dgm:t>
        <a:bodyPr/>
        <a:lstStyle/>
        <a:p>
          <a:endParaRPr lang="en-GB"/>
        </a:p>
      </dgm:t>
    </dgm:pt>
    <dgm:pt modelId="{0B0BDF74-D458-4886-A29B-2E7D532DDCEC}" type="sibTrans" cxnId="{0E9EBF6F-6BD8-4505-A180-4B35B02D943F}">
      <dgm:prSet/>
      <dgm:spPr/>
      <dgm:t>
        <a:bodyPr/>
        <a:lstStyle/>
        <a:p>
          <a:endParaRPr lang="en-GB"/>
        </a:p>
      </dgm:t>
    </dgm:pt>
    <dgm:pt modelId="{AE5E83A7-0964-4C8F-AE38-A162F9EC1141}" type="pres">
      <dgm:prSet presAssocID="{CA0C4A7D-87B4-42FC-B473-86E796E6DB3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3C0F827-EF46-4C6A-8A7B-173F39D63C47}" type="pres">
      <dgm:prSet presAssocID="{3D4AA21C-8618-4D88-ADD2-82497DC1C3C8}" presName="hierRoot1" presStyleCnt="0">
        <dgm:presLayoutVars>
          <dgm:hierBranch val="init"/>
        </dgm:presLayoutVars>
      </dgm:prSet>
      <dgm:spPr/>
    </dgm:pt>
    <dgm:pt modelId="{C17EA8BB-09B7-4C3C-8988-EB642C1DB8DA}" type="pres">
      <dgm:prSet presAssocID="{3D4AA21C-8618-4D88-ADD2-82497DC1C3C8}" presName="rootComposite1" presStyleCnt="0"/>
      <dgm:spPr/>
    </dgm:pt>
    <dgm:pt modelId="{C9906B2A-6D0D-4B97-86E9-67AB72BB51C3}" type="pres">
      <dgm:prSet presAssocID="{3D4AA21C-8618-4D88-ADD2-82497DC1C3C8}" presName="rootText1" presStyleLbl="node0" presStyleIdx="0" presStyleCnt="1" custScaleX="275290" custScaleY="110116">
        <dgm:presLayoutVars>
          <dgm:chPref val="3"/>
        </dgm:presLayoutVars>
      </dgm:prSet>
      <dgm:spPr>
        <a:prstGeom prst="roundRect">
          <a:avLst/>
        </a:prstGeom>
      </dgm:spPr>
    </dgm:pt>
    <dgm:pt modelId="{02ACD5D0-6C9D-484A-BD23-29ABC006DAEA}" type="pres">
      <dgm:prSet presAssocID="{3D4AA21C-8618-4D88-ADD2-82497DC1C3C8}" presName="rootConnector1" presStyleLbl="node1" presStyleIdx="0" presStyleCnt="0"/>
      <dgm:spPr/>
    </dgm:pt>
    <dgm:pt modelId="{FF8BCAD5-BE9A-4430-BBC0-D43BA79507C0}" type="pres">
      <dgm:prSet presAssocID="{3D4AA21C-8618-4D88-ADD2-82497DC1C3C8}" presName="hierChild2" presStyleCnt="0"/>
      <dgm:spPr/>
    </dgm:pt>
    <dgm:pt modelId="{98DD77B9-6508-4827-9493-60FB472DE478}" type="pres">
      <dgm:prSet presAssocID="{E2EA3DBF-0B05-4BE9-80CF-CD8065633172}" presName="Name37" presStyleLbl="parChTrans1D2" presStyleIdx="0" presStyleCnt="4"/>
      <dgm:spPr/>
    </dgm:pt>
    <dgm:pt modelId="{1575CE88-5799-4DA5-9BC6-09897D82DF48}" type="pres">
      <dgm:prSet presAssocID="{A5AE3037-5CDE-48B1-980D-BF755907F721}" presName="hierRoot2" presStyleCnt="0">
        <dgm:presLayoutVars>
          <dgm:hierBranch val="init"/>
        </dgm:presLayoutVars>
      </dgm:prSet>
      <dgm:spPr/>
    </dgm:pt>
    <dgm:pt modelId="{F09DB981-3CD5-4201-8323-D09C948E8960}" type="pres">
      <dgm:prSet presAssocID="{A5AE3037-5CDE-48B1-980D-BF755907F721}" presName="rootComposite" presStyleCnt="0"/>
      <dgm:spPr/>
    </dgm:pt>
    <dgm:pt modelId="{42D1E0BE-354F-4E3C-8806-1977ECF66EA1}" type="pres">
      <dgm:prSet presAssocID="{A5AE3037-5CDE-48B1-980D-BF755907F721}" presName="rootText" presStyleLbl="node2" presStyleIdx="0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6280D6AE-52C6-48FA-A310-9B841171A626}" type="pres">
      <dgm:prSet presAssocID="{A5AE3037-5CDE-48B1-980D-BF755907F721}" presName="rootConnector" presStyleLbl="node2" presStyleIdx="0" presStyleCnt="4"/>
      <dgm:spPr/>
    </dgm:pt>
    <dgm:pt modelId="{E2551EF9-F6B8-4D10-ADCE-CA18AB6F6C19}" type="pres">
      <dgm:prSet presAssocID="{A5AE3037-5CDE-48B1-980D-BF755907F721}" presName="hierChild4" presStyleCnt="0"/>
      <dgm:spPr/>
    </dgm:pt>
    <dgm:pt modelId="{24BF0753-546B-46C2-86A1-B85748862C03}" type="pres">
      <dgm:prSet presAssocID="{3EE6172B-B803-440C-92DD-765D3BC6ACDB}" presName="Name37" presStyleLbl="parChTrans1D3" presStyleIdx="0" presStyleCnt="15"/>
      <dgm:spPr/>
    </dgm:pt>
    <dgm:pt modelId="{8697166C-E6C4-4FAC-9932-876C66AFF466}" type="pres">
      <dgm:prSet presAssocID="{F56A11B0-F829-4403-B03B-66574A081A1D}" presName="hierRoot2" presStyleCnt="0">
        <dgm:presLayoutVars>
          <dgm:hierBranch val="init"/>
        </dgm:presLayoutVars>
      </dgm:prSet>
      <dgm:spPr/>
    </dgm:pt>
    <dgm:pt modelId="{288D150C-2503-4F00-B391-0AABDF1A2B25}" type="pres">
      <dgm:prSet presAssocID="{F56A11B0-F829-4403-B03B-66574A081A1D}" presName="rootComposite" presStyleCnt="0"/>
      <dgm:spPr/>
    </dgm:pt>
    <dgm:pt modelId="{6D82EA0F-014F-47C5-883A-DB387EA6CDAE}" type="pres">
      <dgm:prSet presAssocID="{F56A11B0-F829-4403-B03B-66574A081A1D}" presName="rootText" presStyleLbl="node3" presStyleIdx="0" presStyleCnt="15" custScaleX="268674" custScaleY="134337">
        <dgm:presLayoutVars>
          <dgm:chPref val="3"/>
        </dgm:presLayoutVars>
      </dgm:prSet>
      <dgm:spPr>
        <a:prstGeom prst="roundRect">
          <a:avLst/>
        </a:prstGeom>
      </dgm:spPr>
    </dgm:pt>
    <dgm:pt modelId="{F512030C-FBC5-4D3B-A89E-F874314E7A02}" type="pres">
      <dgm:prSet presAssocID="{F56A11B0-F829-4403-B03B-66574A081A1D}" presName="rootConnector" presStyleLbl="node3" presStyleIdx="0" presStyleCnt="15"/>
      <dgm:spPr/>
    </dgm:pt>
    <dgm:pt modelId="{EEE75C39-9E08-4ACA-8276-F910AEA8229E}" type="pres">
      <dgm:prSet presAssocID="{F56A11B0-F829-4403-B03B-66574A081A1D}" presName="hierChild4" presStyleCnt="0"/>
      <dgm:spPr/>
    </dgm:pt>
    <dgm:pt modelId="{FC544A9F-2494-4136-ADB2-6C417971A872}" type="pres">
      <dgm:prSet presAssocID="{F56A11B0-F829-4403-B03B-66574A081A1D}" presName="hierChild5" presStyleCnt="0"/>
      <dgm:spPr/>
    </dgm:pt>
    <dgm:pt modelId="{E3C07E89-C63D-4449-9138-B5EE3042C7A8}" type="pres">
      <dgm:prSet presAssocID="{4ECF0464-F6E6-4CE3-8866-0ED853614CC9}" presName="Name37" presStyleLbl="parChTrans1D3" presStyleIdx="1" presStyleCnt="15"/>
      <dgm:spPr/>
    </dgm:pt>
    <dgm:pt modelId="{21231F1F-CAD0-4EB2-A434-8F3A9A0C0BD5}" type="pres">
      <dgm:prSet presAssocID="{2FFF8319-69F4-486B-882F-5B37384F1260}" presName="hierRoot2" presStyleCnt="0">
        <dgm:presLayoutVars>
          <dgm:hierBranch val="init"/>
        </dgm:presLayoutVars>
      </dgm:prSet>
      <dgm:spPr/>
    </dgm:pt>
    <dgm:pt modelId="{875569A0-C5C9-4FF7-87B8-70C23F8F6DD7}" type="pres">
      <dgm:prSet presAssocID="{2FFF8319-69F4-486B-882F-5B37384F1260}" presName="rootComposite" presStyleCnt="0"/>
      <dgm:spPr/>
    </dgm:pt>
    <dgm:pt modelId="{16466F66-21BE-440C-AFE1-27401EFCD165}" type="pres">
      <dgm:prSet presAssocID="{2FFF8319-69F4-486B-882F-5B37384F1260}" presName="rootText" presStyleLbl="node3" presStyleIdx="1" presStyleCnt="15" custScaleX="268674" custScaleY="134337" custLinFactNeighborX="2150">
        <dgm:presLayoutVars>
          <dgm:chPref val="3"/>
        </dgm:presLayoutVars>
      </dgm:prSet>
      <dgm:spPr>
        <a:xfrm>
          <a:off x="523157" y="1741922"/>
          <a:ext cx="1756739" cy="439184"/>
        </a:xfrm>
        <a:prstGeom prst="roundRect">
          <a:avLst/>
        </a:prstGeom>
      </dgm:spPr>
    </dgm:pt>
    <dgm:pt modelId="{D53A79D7-A77E-459E-B55D-EB99EE7432DA}" type="pres">
      <dgm:prSet presAssocID="{2FFF8319-69F4-486B-882F-5B37384F1260}" presName="rootConnector" presStyleLbl="node3" presStyleIdx="1" presStyleCnt="15"/>
      <dgm:spPr/>
    </dgm:pt>
    <dgm:pt modelId="{BC9CDFBC-A3BD-4452-8253-FC21870E061E}" type="pres">
      <dgm:prSet presAssocID="{2FFF8319-69F4-486B-882F-5B37384F1260}" presName="hierChild4" presStyleCnt="0"/>
      <dgm:spPr/>
    </dgm:pt>
    <dgm:pt modelId="{72FF905A-11BA-41AD-B5F5-3E7D0248EAC5}" type="pres">
      <dgm:prSet presAssocID="{2FFF8319-69F4-486B-882F-5B37384F1260}" presName="hierChild5" presStyleCnt="0"/>
      <dgm:spPr/>
    </dgm:pt>
    <dgm:pt modelId="{A87082C9-45F3-410C-83B8-8C1C4E93FA1C}" type="pres">
      <dgm:prSet presAssocID="{A716377B-5CE5-4BB0-887C-C66ADEDEFCD0}" presName="Name37" presStyleLbl="parChTrans1D3" presStyleIdx="2" presStyleCnt="15"/>
      <dgm:spPr/>
    </dgm:pt>
    <dgm:pt modelId="{5829CBEC-FF79-45A1-A645-BDDC9CDFC4C1}" type="pres">
      <dgm:prSet presAssocID="{5CAD7F8E-2D4B-494E-A9B3-8662F2F1C876}" presName="hierRoot2" presStyleCnt="0">
        <dgm:presLayoutVars>
          <dgm:hierBranch val="init"/>
        </dgm:presLayoutVars>
      </dgm:prSet>
      <dgm:spPr/>
    </dgm:pt>
    <dgm:pt modelId="{3385CAAA-3FDB-49A4-A502-B8C3537CDCA1}" type="pres">
      <dgm:prSet presAssocID="{5CAD7F8E-2D4B-494E-A9B3-8662F2F1C876}" presName="rootComposite" presStyleCnt="0"/>
      <dgm:spPr/>
    </dgm:pt>
    <dgm:pt modelId="{2841514A-A0DB-45C8-A350-781612C53CB7}" type="pres">
      <dgm:prSet presAssocID="{5CAD7F8E-2D4B-494E-A9B3-8662F2F1C876}" presName="rootText" presStyleLbl="node3" presStyleIdx="2" presStyleCnt="15" custScaleX="268674" custScaleY="134337">
        <dgm:presLayoutVars>
          <dgm:chPref val="3"/>
        </dgm:presLayoutVars>
      </dgm:prSet>
      <dgm:spPr>
        <a:xfrm>
          <a:off x="509100" y="2318416"/>
          <a:ext cx="1756739" cy="439184"/>
        </a:xfrm>
        <a:prstGeom prst="roundRect">
          <a:avLst/>
        </a:prstGeom>
      </dgm:spPr>
    </dgm:pt>
    <dgm:pt modelId="{669661FF-25DD-4243-AB62-68FDBEE0DB7C}" type="pres">
      <dgm:prSet presAssocID="{5CAD7F8E-2D4B-494E-A9B3-8662F2F1C876}" presName="rootConnector" presStyleLbl="node3" presStyleIdx="2" presStyleCnt="15"/>
      <dgm:spPr/>
    </dgm:pt>
    <dgm:pt modelId="{67183722-17A1-4727-AAA6-0A14AB58ED05}" type="pres">
      <dgm:prSet presAssocID="{5CAD7F8E-2D4B-494E-A9B3-8662F2F1C876}" presName="hierChild4" presStyleCnt="0"/>
      <dgm:spPr/>
    </dgm:pt>
    <dgm:pt modelId="{10FEBB28-75D6-4A28-A5E8-76720F8194DB}" type="pres">
      <dgm:prSet presAssocID="{5CAD7F8E-2D4B-494E-A9B3-8662F2F1C876}" presName="hierChild5" presStyleCnt="0"/>
      <dgm:spPr/>
    </dgm:pt>
    <dgm:pt modelId="{0BA468DC-1E4F-47B6-834D-E8FC08A235B4}" type="pres">
      <dgm:prSet presAssocID="{A5AE3037-5CDE-48B1-980D-BF755907F721}" presName="hierChild5" presStyleCnt="0"/>
      <dgm:spPr/>
    </dgm:pt>
    <dgm:pt modelId="{F92DD1E1-B9A1-46FB-97E4-955B61300390}" type="pres">
      <dgm:prSet presAssocID="{DC323120-D202-4A8E-953D-322761F16AE2}" presName="Name37" presStyleLbl="parChTrans1D2" presStyleIdx="1" presStyleCnt="4"/>
      <dgm:spPr/>
    </dgm:pt>
    <dgm:pt modelId="{A9655281-1A11-48A7-A397-28B2365A7821}" type="pres">
      <dgm:prSet presAssocID="{1007B6F3-05BC-4F7A-8E1A-37C08373F646}" presName="hierRoot2" presStyleCnt="0">
        <dgm:presLayoutVars>
          <dgm:hierBranch val="init"/>
        </dgm:presLayoutVars>
      </dgm:prSet>
      <dgm:spPr/>
    </dgm:pt>
    <dgm:pt modelId="{16DF5A1D-F328-4D8F-9A64-679F012C89FD}" type="pres">
      <dgm:prSet presAssocID="{1007B6F3-05BC-4F7A-8E1A-37C08373F646}" presName="rootComposite" presStyleCnt="0"/>
      <dgm:spPr/>
    </dgm:pt>
    <dgm:pt modelId="{1BE2E877-A98C-4F5E-B162-7E381A985946}" type="pres">
      <dgm:prSet presAssocID="{1007B6F3-05BC-4F7A-8E1A-37C08373F646}" presName="rootText" presStyleLbl="node2" presStyleIdx="1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71E225-D9F5-478B-8A95-DB5AA24C6662}" type="pres">
      <dgm:prSet presAssocID="{1007B6F3-05BC-4F7A-8E1A-37C08373F646}" presName="rootConnector" presStyleLbl="node2" presStyleIdx="1" presStyleCnt="4"/>
      <dgm:spPr/>
    </dgm:pt>
    <dgm:pt modelId="{68EA9830-A38B-4137-AD59-A7E86F6FAAA7}" type="pres">
      <dgm:prSet presAssocID="{1007B6F3-05BC-4F7A-8E1A-37C08373F646}" presName="hierChild4" presStyleCnt="0"/>
      <dgm:spPr/>
    </dgm:pt>
    <dgm:pt modelId="{FE6A734C-CD98-41BA-B25A-1C4D4AE8317A}" type="pres">
      <dgm:prSet presAssocID="{1768B429-B295-4E12-A4E5-2959760A26BB}" presName="Name37" presStyleLbl="parChTrans1D3" presStyleIdx="3" presStyleCnt="15"/>
      <dgm:spPr/>
    </dgm:pt>
    <dgm:pt modelId="{0CFBA51D-31D1-471A-9BC7-2CEB9D7C399F}" type="pres">
      <dgm:prSet presAssocID="{882B9642-DB5D-4415-8141-174046543928}" presName="hierRoot2" presStyleCnt="0">
        <dgm:presLayoutVars>
          <dgm:hierBranch val="init"/>
        </dgm:presLayoutVars>
      </dgm:prSet>
      <dgm:spPr/>
    </dgm:pt>
    <dgm:pt modelId="{0D15A8F0-925F-4930-A883-35E4E6551285}" type="pres">
      <dgm:prSet presAssocID="{882B9642-DB5D-4415-8141-174046543928}" presName="rootComposite" presStyleCnt="0"/>
      <dgm:spPr/>
    </dgm:pt>
    <dgm:pt modelId="{6A43EABD-03AA-415F-BE3A-2DD31AB048C5}" type="pres">
      <dgm:prSet presAssocID="{882B9642-DB5D-4415-8141-174046543928}" presName="rootText" presStyleLbl="node3" presStyleIdx="3" presStyleCnt="15" custScaleX="268674" custScaleY="134337">
        <dgm:presLayoutVars>
          <dgm:chPref val="3"/>
        </dgm:presLayoutVars>
      </dgm:prSet>
      <dgm:spPr>
        <a:xfrm>
          <a:off x="2674093" y="1165427"/>
          <a:ext cx="1756739" cy="439184"/>
        </a:xfrm>
        <a:prstGeom prst="roundRect">
          <a:avLst/>
        </a:prstGeom>
      </dgm:spPr>
    </dgm:pt>
    <dgm:pt modelId="{DECA7EAF-1BEF-41A3-ABB3-5EAA3BAAF462}" type="pres">
      <dgm:prSet presAssocID="{882B9642-DB5D-4415-8141-174046543928}" presName="rootConnector" presStyleLbl="node3" presStyleIdx="3" presStyleCnt="15"/>
      <dgm:spPr/>
    </dgm:pt>
    <dgm:pt modelId="{D85C8B7E-C5E4-4E2B-A51E-8DED9E096F4F}" type="pres">
      <dgm:prSet presAssocID="{882B9642-DB5D-4415-8141-174046543928}" presName="hierChild4" presStyleCnt="0"/>
      <dgm:spPr/>
    </dgm:pt>
    <dgm:pt modelId="{9A795A8B-98A0-4E3A-8C63-BBCD9EC7B428}" type="pres">
      <dgm:prSet presAssocID="{882B9642-DB5D-4415-8141-174046543928}" presName="hierChild5" presStyleCnt="0"/>
      <dgm:spPr/>
    </dgm:pt>
    <dgm:pt modelId="{D978C072-8E92-43C4-91B3-F3E661B7ABAC}" type="pres">
      <dgm:prSet presAssocID="{FA1804DE-9856-4A08-B6E3-E8E7C1EC73C0}" presName="Name37" presStyleLbl="parChTrans1D3" presStyleIdx="4" presStyleCnt="15"/>
      <dgm:spPr/>
    </dgm:pt>
    <dgm:pt modelId="{4BE219A9-D29C-4EF0-AD63-17317A4642BE}" type="pres">
      <dgm:prSet presAssocID="{8B0EAEC7-B4D5-4CF1-85E4-FC7CBAB245A6}" presName="hierRoot2" presStyleCnt="0">
        <dgm:presLayoutVars>
          <dgm:hierBranch val="init"/>
        </dgm:presLayoutVars>
      </dgm:prSet>
      <dgm:spPr/>
    </dgm:pt>
    <dgm:pt modelId="{33E3FF0E-3075-4C97-9AB8-B35A81D99026}" type="pres">
      <dgm:prSet presAssocID="{8B0EAEC7-B4D5-4CF1-85E4-FC7CBAB245A6}" presName="rootComposite" presStyleCnt="0"/>
      <dgm:spPr/>
    </dgm:pt>
    <dgm:pt modelId="{19B89C79-DE41-4F48-9743-7325556D13A7}" type="pres">
      <dgm:prSet presAssocID="{8B0EAEC7-B4D5-4CF1-85E4-FC7CBAB245A6}" presName="rootText" presStyleLbl="node3" presStyleIdx="4" presStyleCnt="15" custScaleX="268674" custScaleY="134337">
        <dgm:presLayoutVars>
          <dgm:chPref val="3"/>
        </dgm:presLayoutVars>
      </dgm:prSet>
      <dgm:spPr>
        <a:xfrm>
          <a:off x="2674093" y="1741922"/>
          <a:ext cx="1756739" cy="439184"/>
        </a:xfrm>
        <a:prstGeom prst="roundRect">
          <a:avLst/>
        </a:prstGeom>
      </dgm:spPr>
    </dgm:pt>
    <dgm:pt modelId="{135572E7-D0A9-47F1-B57C-3842E7D4BA7A}" type="pres">
      <dgm:prSet presAssocID="{8B0EAEC7-B4D5-4CF1-85E4-FC7CBAB245A6}" presName="rootConnector" presStyleLbl="node3" presStyleIdx="4" presStyleCnt="15"/>
      <dgm:spPr/>
    </dgm:pt>
    <dgm:pt modelId="{E0086AA6-9892-483C-8BF3-8DFA11CB0C89}" type="pres">
      <dgm:prSet presAssocID="{8B0EAEC7-B4D5-4CF1-85E4-FC7CBAB245A6}" presName="hierChild4" presStyleCnt="0"/>
      <dgm:spPr/>
    </dgm:pt>
    <dgm:pt modelId="{294FCD5E-48DF-44D1-87AD-8120DD61C071}" type="pres">
      <dgm:prSet presAssocID="{8B0EAEC7-B4D5-4CF1-85E4-FC7CBAB245A6}" presName="hierChild5" presStyleCnt="0"/>
      <dgm:spPr/>
    </dgm:pt>
    <dgm:pt modelId="{8E487ED1-854B-4A52-9737-AAF07A5B6561}" type="pres">
      <dgm:prSet presAssocID="{3DA5B83C-D6D6-4F7C-810E-D00E25F2DA99}" presName="Name37" presStyleLbl="parChTrans1D3" presStyleIdx="5" presStyleCnt="15"/>
      <dgm:spPr/>
    </dgm:pt>
    <dgm:pt modelId="{0EDA9EF3-F649-4B52-AB88-688C9B52ADAD}" type="pres">
      <dgm:prSet presAssocID="{0202D3B0-F039-4A45-9B54-52DE61CC6EBF}" presName="hierRoot2" presStyleCnt="0">
        <dgm:presLayoutVars>
          <dgm:hierBranch val="init"/>
        </dgm:presLayoutVars>
      </dgm:prSet>
      <dgm:spPr/>
    </dgm:pt>
    <dgm:pt modelId="{B6A5BF6A-F825-4E87-9BF1-F12F0E1A2824}" type="pres">
      <dgm:prSet presAssocID="{0202D3B0-F039-4A45-9B54-52DE61CC6EBF}" presName="rootComposite" presStyleCnt="0"/>
      <dgm:spPr/>
    </dgm:pt>
    <dgm:pt modelId="{0E67771F-D6B3-42E0-A4EC-8EA8EA99163C}" type="pres">
      <dgm:prSet presAssocID="{0202D3B0-F039-4A45-9B54-52DE61CC6EBF}" presName="rootText" presStyleLbl="node3" presStyleIdx="5" presStyleCnt="15" custScaleX="268674" custScaleY="134337">
        <dgm:presLayoutVars>
          <dgm:chPref val="3"/>
        </dgm:presLayoutVars>
      </dgm:prSet>
      <dgm:spPr>
        <a:xfrm>
          <a:off x="2674093" y="2318416"/>
          <a:ext cx="1756739" cy="439184"/>
        </a:xfrm>
        <a:prstGeom prst="roundRect">
          <a:avLst/>
        </a:prstGeom>
      </dgm:spPr>
    </dgm:pt>
    <dgm:pt modelId="{56227AB4-9AF1-4700-B97A-335834EB032E}" type="pres">
      <dgm:prSet presAssocID="{0202D3B0-F039-4A45-9B54-52DE61CC6EBF}" presName="rootConnector" presStyleLbl="node3" presStyleIdx="5" presStyleCnt="15"/>
      <dgm:spPr/>
    </dgm:pt>
    <dgm:pt modelId="{5913F22F-50C4-401C-9266-A98924DA7048}" type="pres">
      <dgm:prSet presAssocID="{0202D3B0-F039-4A45-9B54-52DE61CC6EBF}" presName="hierChild4" presStyleCnt="0"/>
      <dgm:spPr/>
    </dgm:pt>
    <dgm:pt modelId="{2A7854A4-11CB-4163-A81B-CB4274046604}" type="pres">
      <dgm:prSet presAssocID="{0202D3B0-F039-4A45-9B54-52DE61CC6EBF}" presName="hierChild5" presStyleCnt="0"/>
      <dgm:spPr/>
    </dgm:pt>
    <dgm:pt modelId="{85F37B29-5104-422E-85BD-743A5D3FCBEE}" type="pres">
      <dgm:prSet presAssocID="{4885AE7B-142E-47E1-9F50-1EE0928EE6FD}" presName="Name37" presStyleLbl="parChTrans1D3" presStyleIdx="6" presStyleCnt="15"/>
      <dgm:spPr/>
    </dgm:pt>
    <dgm:pt modelId="{F248421B-7462-47B5-B02A-D25BE114F1BD}" type="pres">
      <dgm:prSet presAssocID="{9BC8CF51-76E1-439F-B56B-8E033A2D208A}" presName="hierRoot2" presStyleCnt="0">
        <dgm:presLayoutVars>
          <dgm:hierBranch val="init"/>
        </dgm:presLayoutVars>
      </dgm:prSet>
      <dgm:spPr/>
    </dgm:pt>
    <dgm:pt modelId="{B1313B78-2633-4FB4-83B1-0F0AA8AD37AE}" type="pres">
      <dgm:prSet presAssocID="{9BC8CF51-76E1-439F-B56B-8E033A2D208A}" presName="rootComposite" presStyleCnt="0"/>
      <dgm:spPr/>
    </dgm:pt>
    <dgm:pt modelId="{401C7678-EDD1-48C6-9768-EBF5BECCC531}" type="pres">
      <dgm:prSet presAssocID="{9BC8CF51-76E1-439F-B56B-8E033A2D208A}" presName="rootText" presStyleLbl="node3" presStyleIdx="6" presStyleCnt="15" custScaleX="268674" custScaleY="134337">
        <dgm:presLayoutVars>
          <dgm:chPref val="3"/>
        </dgm:presLayoutVars>
      </dgm:prSet>
      <dgm:spPr>
        <a:xfrm>
          <a:off x="2674093" y="2894911"/>
          <a:ext cx="1756739" cy="439184"/>
        </a:xfrm>
        <a:prstGeom prst="roundRect">
          <a:avLst/>
        </a:prstGeom>
      </dgm:spPr>
    </dgm:pt>
    <dgm:pt modelId="{10DB2604-F4DC-4B99-B113-256861ED3A2B}" type="pres">
      <dgm:prSet presAssocID="{9BC8CF51-76E1-439F-B56B-8E033A2D208A}" presName="rootConnector" presStyleLbl="node3" presStyleIdx="6" presStyleCnt="15"/>
      <dgm:spPr/>
    </dgm:pt>
    <dgm:pt modelId="{3EBE27FC-7BD3-48FE-AD19-ABD7F813E117}" type="pres">
      <dgm:prSet presAssocID="{9BC8CF51-76E1-439F-B56B-8E033A2D208A}" presName="hierChild4" presStyleCnt="0"/>
      <dgm:spPr/>
    </dgm:pt>
    <dgm:pt modelId="{EF2A79F4-FC4E-4FC6-9FA8-437F5E6C9593}" type="pres">
      <dgm:prSet presAssocID="{9BC8CF51-76E1-439F-B56B-8E033A2D208A}" presName="hierChild5" presStyleCnt="0"/>
      <dgm:spPr/>
    </dgm:pt>
    <dgm:pt modelId="{B9E18785-60C1-46A6-89DB-EFB0849FC9C4}" type="pres">
      <dgm:prSet presAssocID="{1007B6F3-05BC-4F7A-8E1A-37C08373F646}" presName="hierChild5" presStyleCnt="0"/>
      <dgm:spPr/>
    </dgm:pt>
    <dgm:pt modelId="{0D136685-5600-4E30-BED0-84E704D24193}" type="pres">
      <dgm:prSet presAssocID="{474A8C66-2F0D-4397-874A-DDCABFDC54EB}" presName="Name37" presStyleLbl="parChTrans1D2" presStyleIdx="2" presStyleCnt="4"/>
      <dgm:spPr/>
    </dgm:pt>
    <dgm:pt modelId="{646878FC-A1C4-4169-97C2-0F25682FDB8A}" type="pres">
      <dgm:prSet presAssocID="{F69D1FAD-E8C8-4443-9C53-33D08E3DE8CE}" presName="hierRoot2" presStyleCnt="0">
        <dgm:presLayoutVars>
          <dgm:hierBranch val="init"/>
        </dgm:presLayoutVars>
      </dgm:prSet>
      <dgm:spPr/>
    </dgm:pt>
    <dgm:pt modelId="{B1B56372-9E70-4A18-ABC7-31AC6F3A3149}" type="pres">
      <dgm:prSet presAssocID="{F69D1FAD-E8C8-4443-9C53-33D08E3DE8CE}" presName="rootComposite" presStyleCnt="0"/>
      <dgm:spPr/>
    </dgm:pt>
    <dgm:pt modelId="{F929D97E-86BE-4488-B496-35906E1F9CAE}" type="pres">
      <dgm:prSet presAssocID="{F69D1FAD-E8C8-4443-9C53-33D08E3DE8CE}" presName="rootText" presStyleLbl="node2" presStyleIdx="2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55BC7D-DAC9-4057-99DB-72B0147F93F2}" type="pres">
      <dgm:prSet presAssocID="{F69D1FAD-E8C8-4443-9C53-33D08E3DE8CE}" presName="rootConnector" presStyleLbl="node2" presStyleIdx="2" presStyleCnt="4"/>
      <dgm:spPr/>
    </dgm:pt>
    <dgm:pt modelId="{44A9F1B2-39FB-45A3-AB69-4CDFB5D6C1C0}" type="pres">
      <dgm:prSet presAssocID="{F69D1FAD-E8C8-4443-9C53-33D08E3DE8CE}" presName="hierChild4" presStyleCnt="0"/>
      <dgm:spPr/>
    </dgm:pt>
    <dgm:pt modelId="{3BF4E0A2-533F-46EF-B1EF-8466DEC47284}" type="pres">
      <dgm:prSet presAssocID="{7B0DE2BE-30B8-41A2-9742-9F7D501ABEE0}" presName="Name37" presStyleLbl="parChTrans1D3" presStyleIdx="7" presStyleCnt="15"/>
      <dgm:spPr/>
    </dgm:pt>
    <dgm:pt modelId="{DC2ABF01-CA2C-4A00-AEB8-54EB3DDBCB56}" type="pres">
      <dgm:prSet presAssocID="{4B850433-3650-48AA-859B-F06BE9D5D2A1}" presName="hierRoot2" presStyleCnt="0">
        <dgm:presLayoutVars>
          <dgm:hierBranch val="init"/>
        </dgm:presLayoutVars>
      </dgm:prSet>
      <dgm:spPr/>
    </dgm:pt>
    <dgm:pt modelId="{4DB6B53A-C791-4485-8973-ADD55BCD34BF}" type="pres">
      <dgm:prSet presAssocID="{4B850433-3650-48AA-859B-F06BE9D5D2A1}" presName="rootComposite" presStyleCnt="0"/>
      <dgm:spPr/>
    </dgm:pt>
    <dgm:pt modelId="{A53EE3FD-0868-455B-8BBA-76212B84AD2F}" type="pres">
      <dgm:prSet presAssocID="{4B850433-3650-48AA-859B-F06BE9D5D2A1}" presName="rootText" presStyleLbl="node3" presStyleIdx="7" presStyleCnt="15" custScaleX="268674" custScaleY="134337">
        <dgm:presLayoutVars>
          <dgm:chPref val="3"/>
        </dgm:presLayoutVars>
      </dgm:prSet>
      <dgm:spPr>
        <a:xfrm>
          <a:off x="4839087" y="1165427"/>
          <a:ext cx="1756739" cy="439184"/>
        </a:xfrm>
        <a:prstGeom prst="roundRect">
          <a:avLst/>
        </a:prstGeom>
      </dgm:spPr>
    </dgm:pt>
    <dgm:pt modelId="{C24ACD5D-4A90-452B-B807-DD2ACB3F82D7}" type="pres">
      <dgm:prSet presAssocID="{4B850433-3650-48AA-859B-F06BE9D5D2A1}" presName="rootConnector" presStyleLbl="node3" presStyleIdx="7" presStyleCnt="15"/>
      <dgm:spPr/>
    </dgm:pt>
    <dgm:pt modelId="{E04CFBD4-1794-4811-9482-8593FC119F23}" type="pres">
      <dgm:prSet presAssocID="{4B850433-3650-48AA-859B-F06BE9D5D2A1}" presName="hierChild4" presStyleCnt="0"/>
      <dgm:spPr/>
    </dgm:pt>
    <dgm:pt modelId="{78B4F3FE-F575-4231-B68B-11F8300430B1}" type="pres">
      <dgm:prSet presAssocID="{4B850433-3650-48AA-859B-F06BE9D5D2A1}" presName="hierChild5" presStyleCnt="0"/>
      <dgm:spPr/>
    </dgm:pt>
    <dgm:pt modelId="{FD2BD50E-D384-49FE-BB00-71E6AEEEE500}" type="pres">
      <dgm:prSet presAssocID="{A3C9C18B-9E10-4A65-87A8-C6D2F29C4622}" presName="Name37" presStyleLbl="parChTrans1D3" presStyleIdx="8" presStyleCnt="15"/>
      <dgm:spPr/>
    </dgm:pt>
    <dgm:pt modelId="{C2D4CFC6-EDEA-4994-85C4-82C320A7C677}" type="pres">
      <dgm:prSet presAssocID="{BAD477F3-63B5-42EE-B3B5-05689244E517}" presName="hierRoot2" presStyleCnt="0">
        <dgm:presLayoutVars>
          <dgm:hierBranch val="init"/>
        </dgm:presLayoutVars>
      </dgm:prSet>
      <dgm:spPr/>
    </dgm:pt>
    <dgm:pt modelId="{D088533D-A6D4-42DD-8549-CE6D6612641C}" type="pres">
      <dgm:prSet presAssocID="{BAD477F3-63B5-42EE-B3B5-05689244E517}" presName="rootComposite" presStyleCnt="0"/>
      <dgm:spPr/>
    </dgm:pt>
    <dgm:pt modelId="{1BB92FE5-CE5A-41FE-B673-C4A4F62BF5AB}" type="pres">
      <dgm:prSet presAssocID="{BAD477F3-63B5-42EE-B3B5-05689244E517}" presName="rootText" presStyleLbl="node3" presStyleIdx="8" presStyleCnt="15" custScaleX="268674" custScaleY="134337">
        <dgm:presLayoutVars>
          <dgm:chPref val="3"/>
        </dgm:presLayoutVars>
      </dgm:prSet>
      <dgm:spPr>
        <a:xfrm>
          <a:off x="4839087" y="1741922"/>
          <a:ext cx="1756739" cy="439184"/>
        </a:xfrm>
        <a:prstGeom prst="roundRect">
          <a:avLst/>
        </a:prstGeom>
      </dgm:spPr>
    </dgm:pt>
    <dgm:pt modelId="{C55C49B2-409B-4525-9D61-0D463E355467}" type="pres">
      <dgm:prSet presAssocID="{BAD477F3-63B5-42EE-B3B5-05689244E517}" presName="rootConnector" presStyleLbl="node3" presStyleIdx="8" presStyleCnt="15"/>
      <dgm:spPr/>
    </dgm:pt>
    <dgm:pt modelId="{01E9F9E7-41C4-4196-B067-4AA632BDE21D}" type="pres">
      <dgm:prSet presAssocID="{BAD477F3-63B5-42EE-B3B5-05689244E517}" presName="hierChild4" presStyleCnt="0"/>
      <dgm:spPr/>
    </dgm:pt>
    <dgm:pt modelId="{16BFCAC6-DC2E-45FA-B317-635DF3BD8F62}" type="pres">
      <dgm:prSet presAssocID="{BAD477F3-63B5-42EE-B3B5-05689244E517}" presName="hierChild5" presStyleCnt="0"/>
      <dgm:spPr/>
    </dgm:pt>
    <dgm:pt modelId="{FEA01142-F62E-4F09-955A-6EF0C7069331}" type="pres">
      <dgm:prSet presAssocID="{9190B60C-4242-4AB8-BE76-B364159818C9}" presName="Name37" presStyleLbl="parChTrans1D3" presStyleIdx="9" presStyleCnt="15"/>
      <dgm:spPr/>
    </dgm:pt>
    <dgm:pt modelId="{F53AEB9B-37A0-47A7-9844-7F512AC66904}" type="pres">
      <dgm:prSet presAssocID="{367DA472-A6B5-4A65-AA92-ABD67FD1CC00}" presName="hierRoot2" presStyleCnt="0">
        <dgm:presLayoutVars>
          <dgm:hierBranch val="init"/>
        </dgm:presLayoutVars>
      </dgm:prSet>
      <dgm:spPr/>
    </dgm:pt>
    <dgm:pt modelId="{5BDCB8CB-9218-4565-AD2A-723662D72680}" type="pres">
      <dgm:prSet presAssocID="{367DA472-A6B5-4A65-AA92-ABD67FD1CC00}" presName="rootComposite" presStyleCnt="0"/>
      <dgm:spPr/>
    </dgm:pt>
    <dgm:pt modelId="{B509DCB6-92BF-408D-9332-348533AC8AE4}" type="pres">
      <dgm:prSet presAssocID="{367DA472-A6B5-4A65-AA92-ABD67FD1CC00}" presName="rootText" presStyleLbl="node3" presStyleIdx="9" presStyleCnt="15" custScaleX="268674" custScaleY="134337">
        <dgm:presLayoutVars>
          <dgm:chPref val="3"/>
        </dgm:presLayoutVars>
      </dgm:prSet>
      <dgm:spPr>
        <a:xfrm>
          <a:off x="4839087" y="2318416"/>
          <a:ext cx="1756739" cy="439184"/>
        </a:xfrm>
        <a:prstGeom prst="roundRect">
          <a:avLst/>
        </a:prstGeom>
      </dgm:spPr>
    </dgm:pt>
    <dgm:pt modelId="{260E8905-E423-4F36-BAD2-9471CD368CFA}" type="pres">
      <dgm:prSet presAssocID="{367DA472-A6B5-4A65-AA92-ABD67FD1CC00}" presName="rootConnector" presStyleLbl="node3" presStyleIdx="9" presStyleCnt="15"/>
      <dgm:spPr/>
    </dgm:pt>
    <dgm:pt modelId="{5477AFEF-68F3-4E40-A383-B71021CC1C12}" type="pres">
      <dgm:prSet presAssocID="{367DA472-A6B5-4A65-AA92-ABD67FD1CC00}" presName="hierChild4" presStyleCnt="0"/>
      <dgm:spPr/>
    </dgm:pt>
    <dgm:pt modelId="{C9993A71-F16C-4C0F-90DE-5F6B5DE2D2C9}" type="pres">
      <dgm:prSet presAssocID="{367DA472-A6B5-4A65-AA92-ABD67FD1CC00}" presName="hierChild5" presStyleCnt="0"/>
      <dgm:spPr/>
    </dgm:pt>
    <dgm:pt modelId="{E100F4B1-0BDD-4045-BB9D-156682492EAA}" type="pres">
      <dgm:prSet presAssocID="{08563A5C-3D65-4FB4-A0E1-BB3A09C1EE2E}" presName="Name37" presStyleLbl="parChTrans1D3" presStyleIdx="10" presStyleCnt="15"/>
      <dgm:spPr/>
    </dgm:pt>
    <dgm:pt modelId="{8B2EDCD7-CACA-43DE-8C39-A7661621A1AD}" type="pres">
      <dgm:prSet presAssocID="{3C4C5D30-0EF7-4DEB-A515-56AD53EECC8E}" presName="hierRoot2" presStyleCnt="0">
        <dgm:presLayoutVars>
          <dgm:hierBranch val="init"/>
        </dgm:presLayoutVars>
      </dgm:prSet>
      <dgm:spPr/>
    </dgm:pt>
    <dgm:pt modelId="{F3C77888-4DA4-493B-BBFA-9699AD41CE8F}" type="pres">
      <dgm:prSet presAssocID="{3C4C5D30-0EF7-4DEB-A515-56AD53EECC8E}" presName="rootComposite" presStyleCnt="0"/>
      <dgm:spPr/>
    </dgm:pt>
    <dgm:pt modelId="{E15D6C05-87C2-4F46-9AA3-4B39FA24F6A2}" type="pres">
      <dgm:prSet presAssocID="{3C4C5D30-0EF7-4DEB-A515-56AD53EECC8E}" presName="rootText" presStyleLbl="node3" presStyleIdx="10" presStyleCnt="15" custScaleX="268806" custScaleY="133836">
        <dgm:presLayoutVars>
          <dgm:chPref val="3"/>
        </dgm:presLayoutVars>
      </dgm:prSet>
      <dgm:spPr/>
    </dgm:pt>
    <dgm:pt modelId="{BA66925A-19AD-4928-8544-E7C599854C15}" type="pres">
      <dgm:prSet presAssocID="{3C4C5D30-0EF7-4DEB-A515-56AD53EECC8E}" presName="rootConnector" presStyleLbl="node3" presStyleIdx="10" presStyleCnt="15"/>
      <dgm:spPr/>
    </dgm:pt>
    <dgm:pt modelId="{FA6C49CF-04F6-4969-ADE0-48700850BA75}" type="pres">
      <dgm:prSet presAssocID="{3C4C5D30-0EF7-4DEB-A515-56AD53EECC8E}" presName="hierChild4" presStyleCnt="0"/>
      <dgm:spPr/>
    </dgm:pt>
    <dgm:pt modelId="{3D7F6618-16BC-4B43-947C-4F215C7CB46C}" type="pres">
      <dgm:prSet presAssocID="{3C4C5D30-0EF7-4DEB-A515-56AD53EECC8E}" presName="hierChild5" presStyleCnt="0"/>
      <dgm:spPr/>
    </dgm:pt>
    <dgm:pt modelId="{24437570-CAF3-40CD-AC31-3F36F640E640}" type="pres">
      <dgm:prSet presAssocID="{F69D1FAD-E8C8-4443-9C53-33D08E3DE8CE}" presName="hierChild5" presStyleCnt="0"/>
      <dgm:spPr/>
    </dgm:pt>
    <dgm:pt modelId="{93F63975-AD3A-48CE-8A6A-39CA9BB236AA}" type="pres">
      <dgm:prSet presAssocID="{759A86B6-2F79-4936-8581-07D0B45049CD}" presName="Name37" presStyleLbl="parChTrans1D2" presStyleIdx="3" presStyleCnt="4"/>
      <dgm:spPr/>
    </dgm:pt>
    <dgm:pt modelId="{49325649-D094-4BD1-A2F7-B0C137CD3783}" type="pres">
      <dgm:prSet presAssocID="{ED054F05-DECF-448A-832E-B98612B081A1}" presName="hierRoot2" presStyleCnt="0">
        <dgm:presLayoutVars>
          <dgm:hierBranch val="init"/>
        </dgm:presLayoutVars>
      </dgm:prSet>
      <dgm:spPr/>
    </dgm:pt>
    <dgm:pt modelId="{70789CCD-8B0C-49CD-B4B8-0C065B45323F}" type="pres">
      <dgm:prSet presAssocID="{ED054F05-DECF-448A-832E-B98612B081A1}" presName="rootComposite" presStyleCnt="0"/>
      <dgm:spPr/>
    </dgm:pt>
    <dgm:pt modelId="{0A209B85-31FA-4E41-BE45-2EB0F430555C}" type="pres">
      <dgm:prSet presAssocID="{ED054F05-DECF-448A-832E-B98612B081A1}" presName="rootText" presStyleLbl="node2" presStyleIdx="3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93AA080D-57AE-4E81-958D-F9A1D38E6CF3}" type="pres">
      <dgm:prSet presAssocID="{ED054F05-DECF-448A-832E-B98612B081A1}" presName="rootConnector" presStyleLbl="node2" presStyleIdx="3" presStyleCnt="4"/>
      <dgm:spPr/>
    </dgm:pt>
    <dgm:pt modelId="{5B8EF062-37A5-49E6-A886-57B55A36AD80}" type="pres">
      <dgm:prSet presAssocID="{ED054F05-DECF-448A-832E-B98612B081A1}" presName="hierChild4" presStyleCnt="0"/>
      <dgm:spPr/>
    </dgm:pt>
    <dgm:pt modelId="{07890C3C-0C34-43C6-B53A-43502EC7872E}" type="pres">
      <dgm:prSet presAssocID="{E0E28DCF-A5AB-4C9B-8D6E-5C57C3D6B80D}" presName="Name37" presStyleLbl="parChTrans1D3" presStyleIdx="11" presStyleCnt="15"/>
      <dgm:spPr/>
    </dgm:pt>
    <dgm:pt modelId="{E81F8071-148A-4763-8EFF-7359EBC8DE40}" type="pres">
      <dgm:prSet presAssocID="{728EF172-F1A2-4630-ACBD-09151A8D42E0}" presName="hierRoot2" presStyleCnt="0">
        <dgm:presLayoutVars>
          <dgm:hierBranch val="init"/>
        </dgm:presLayoutVars>
      </dgm:prSet>
      <dgm:spPr/>
    </dgm:pt>
    <dgm:pt modelId="{FDD95A59-FDE0-4E38-BD3F-1AEE9AAEC663}" type="pres">
      <dgm:prSet presAssocID="{728EF172-F1A2-4630-ACBD-09151A8D42E0}" presName="rootComposite" presStyleCnt="0"/>
      <dgm:spPr/>
    </dgm:pt>
    <dgm:pt modelId="{25CBE439-FF8E-48F7-B5EE-F025139ED159}" type="pres">
      <dgm:prSet presAssocID="{728EF172-F1A2-4630-ACBD-09151A8D42E0}" presName="rootText" presStyleLbl="node3" presStyleIdx="11" presStyleCnt="15" custScaleX="268674" custScaleY="134337">
        <dgm:presLayoutVars>
          <dgm:chPref val="3"/>
        </dgm:presLayoutVars>
      </dgm:prSet>
      <dgm:spPr>
        <a:xfrm>
          <a:off x="7004081" y="1165427"/>
          <a:ext cx="1756739" cy="439184"/>
        </a:xfrm>
        <a:prstGeom prst="roundRect">
          <a:avLst/>
        </a:prstGeom>
      </dgm:spPr>
    </dgm:pt>
    <dgm:pt modelId="{EA9065D7-9704-4C0A-8D0D-77EE2F0AF926}" type="pres">
      <dgm:prSet presAssocID="{728EF172-F1A2-4630-ACBD-09151A8D42E0}" presName="rootConnector" presStyleLbl="node3" presStyleIdx="11" presStyleCnt="15"/>
      <dgm:spPr/>
    </dgm:pt>
    <dgm:pt modelId="{D70D0C17-EA0F-4EA2-88B8-05912BDCDDF2}" type="pres">
      <dgm:prSet presAssocID="{728EF172-F1A2-4630-ACBD-09151A8D42E0}" presName="hierChild4" presStyleCnt="0"/>
      <dgm:spPr/>
    </dgm:pt>
    <dgm:pt modelId="{7580CB60-37C3-4922-B670-CB79D70669CB}" type="pres">
      <dgm:prSet presAssocID="{728EF172-F1A2-4630-ACBD-09151A8D42E0}" presName="hierChild5" presStyleCnt="0"/>
      <dgm:spPr/>
    </dgm:pt>
    <dgm:pt modelId="{0682577A-DD48-4F68-A560-24C92A32267A}" type="pres">
      <dgm:prSet presAssocID="{CA170EC8-BD45-473C-9A48-D8E4B862E170}" presName="Name37" presStyleLbl="parChTrans1D3" presStyleIdx="12" presStyleCnt="15"/>
      <dgm:spPr/>
    </dgm:pt>
    <dgm:pt modelId="{F807C59A-718A-4B6B-95A4-4DE71D9B58EF}" type="pres">
      <dgm:prSet presAssocID="{66822BD2-E0EA-4B23-8515-68CA5DAF36F2}" presName="hierRoot2" presStyleCnt="0">
        <dgm:presLayoutVars>
          <dgm:hierBranch val="init"/>
        </dgm:presLayoutVars>
      </dgm:prSet>
      <dgm:spPr/>
    </dgm:pt>
    <dgm:pt modelId="{CCA4A9ED-1E46-487D-A4EC-7A1E9512863F}" type="pres">
      <dgm:prSet presAssocID="{66822BD2-E0EA-4B23-8515-68CA5DAF36F2}" presName="rootComposite" presStyleCnt="0"/>
      <dgm:spPr/>
    </dgm:pt>
    <dgm:pt modelId="{340D405E-7980-48FF-92E8-4B1BA0904690}" type="pres">
      <dgm:prSet presAssocID="{66822BD2-E0EA-4B23-8515-68CA5DAF36F2}" presName="rootText" presStyleLbl="node3" presStyleIdx="12" presStyleCnt="15" custScaleX="268674" custScaleY="134337">
        <dgm:presLayoutVars>
          <dgm:chPref val="3"/>
        </dgm:presLayoutVars>
      </dgm:prSet>
      <dgm:spPr>
        <a:xfrm>
          <a:off x="7004081" y="1741922"/>
          <a:ext cx="1756739" cy="439184"/>
        </a:xfrm>
        <a:prstGeom prst="roundRect">
          <a:avLst/>
        </a:prstGeom>
      </dgm:spPr>
    </dgm:pt>
    <dgm:pt modelId="{8CF0BE38-64A4-48F7-91EA-1C5DF9DE28BA}" type="pres">
      <dgm:prSet presAssocID="{66822BD2-E0EA-4B23-8515-68CA5DAF36F2}" presName="rootConnector" presStyleLbl="node3" presStyleIdx="12" presStyleCnt="15"/>
      <dgm:spPr/>
    </dgm:pt>
    <dgm:pt modelId="{29A25B00-B975-4C02-86E5-474E22CEC8B6}" type="pres">
      <dgm:prSet presAssocID="{66822BD2-E0EA-4B23-8515-68CA5DAF36F2}" presName="hierChild4" presStyleCnt="0"/>
      <dgm:spPr/>
    </dgm:pt>
    <dgm:pt modelId="{61E0D8D8-696B-4694-AB78-FAF9F716517A}" type="pres">
      <dgm:prSet presAssocID="{66822BD2-E0EA-4B23-8515-68CA5DAF36F2}" presName="hierChild5" presStyleCnt="0"/>
      <dgm:spPr/>
    </dgm:pt>
    <dgm:pt modelId="{3233BCA5-2C84-43F7-943C-C8F551BB69F0}" type="pres">
      <dgm:prSet presAssocID="{AA47E5F8-22DB-44AD-8B74-4C34F69629B7}" presName="Name37" presStyleLbl="parChTrans1D3" presStyleIdx="13" presStyleCnt="15"/>
      <dgm:spPr/>
    </dgm:pt>
    <dgm:pt modelId="{90A9F625-FFA3-49D3-8403-354901068ED2}" type="pres">
      <dgm:prSet presAssocID="{1A71B215-4DB9-4CB5-B582-BBADA823F791}" presName="hierRoot2" presStyleCnt="0">
        <dgm:presLayoutVars>
          <dgm:hierBranch val="init"/>
        </dgm:presLayoutVars>
      </dgm:prSet>
      <dgm:spPr/>
    </dgm:pt>
    <dgm:pt modelId="{520540E8-F468-43BF-B547-DEE312944748}" type="pres">
      <dgm:prSet presAssocID="{1A71B215-4DB9-4CB5-B582-BBADA823F791}" presName="rootComposite" presStyleCnt="0"/>
      <dgm:spPr/>
    </dgm:pt>
    <dgm:pt modelId="{16256827-AD03-4423-92C1-0FDBEE3D6F20}" type="pres">
      <dgm:prSet presAssocID="{1A71B215-4DB9-4CB5-B582-BBADA823F791}" presName="rootText" presStyleLbl="node3" presStyleIdx="13" presStyleCnt="15" custScaleX="268674" custScaleY="134337">
        <dgm:presLayoutVars>
          <dgm:chPref val="3"/>
        </dgm:presLayoutVars>
      </dgm:prSet>
      <dgm:spPr>
        <a:xfrm>
          <a:off x="7004081" y="2318416"/>
          <a:ext cx="1756739" cy="439184"/>
        </a:xfrm>
        <a:prstGeom prst="roundRect">
          <a:avLst/>
        </a:prstGeom>
      </dgm:spPr>
    </dgm:pt>
    <dgm:pt modelId="{FA8629FB-C9BE-4CF3-8D6D-3212F2CA21E9}" type="pres">
      <dgm:prSet presAssocID="{1A71B215-4DB9-4CB5-B582-BBADA823F791}" presName="rootConnector" presStyleLbl="node3" presStyleIdx="13" presStyleCnt="15"/>
      <dgm:spPr/>
    </dgm:pt>
    <dgm:pt modelId="{B07953BF-3FD0-4F54-AC8A-B3EDD295FE08}" type="pres">
      <dgm:prSet presAssocID="{1A71B215-4DB9-4CB5-B582-BBADA823F791}" presName="hierChild4" presStyleCnt="0"/>
      <dgm:spPr/>
    </dgm:pt>
    <dgm:pt modelId="{CCB61684-D88B-4164-89AF-8A1B40B260EC}" type="pres">
      <dgm:prSet presAssocID="{1A71B215-4DB9-4CB5-B582-BBADA823F791}" presName="hierChild5" presStyleCnt="0"/>
      <dgm:spPr/>
    </dgm:pt>
    <dgm:pt modelId="{CD77612E-A601-4FF9-812B-09B5C2A66F77}" type="pres">
      <dgm:prSet presAssocID="{DF1228FD-2C6E-4CA0-AE0A-C99AA41C5F56}" presName="Name37" presStyleLbl="parChTrans1D3" presStyleIdx="14" presStyleCnt="15"/>
      <dgm:spPr/>
    </dgm:pt>
    <dgm:pt modelId="{23EEB4B9-012B-4D46-8FFA-704D98B059C2}" type="pres">
      <dgm:prSet presAssocID="{E1F4505A-4BA8-40DB-A4F8-8AA5CAD0CD52}" presName="hierRoot2" presStyleCnt="0">
        <dgm:presLayoutVars>
          <dgm:hierBranch val="init"/>
        </dgm:presLayoutVars>
      </dgm:prSet>
      <dgm:spPr/>
    </dgm:pt>
    <dgm:pt modelId="{930628B0-2955-484B-825E-E30629175298}" type="pres">
      <dgm:prSet presAssocID="{E1F4505A-4BA8-40DB-A4F8-8AA5CAD0CD52}" presName="rootComposite" presStyleCnt="0"/>
      <dgm:spPr/>
    </dgm:pt>
    <dgm:pt modelId="{20D7B8A2-4EB4-46B9-936F-BD8D162C4F1E}" type="pres">
      <dgm:prSet presAssocID="{E1F4505A-4BA8-40DB-A4F8-8AA5CAD0CD52}" presName="rootText" presStyleLbl="node3" presStyleIdx="14" presStyleCnt="15" custScaleX="268674" custScaleY="134337">
        <dgm:presLayoutVars>
          <dgm:chPref val="3"/>
        </dgm:presLayoutVars>
      </dgm:prSet>
      <dgm:spPr>
        <a:xfrm>
          <a:off x="7004081" y="2894911"/>
          <a:ext cx="1756739" cy="439184"/>
        </a:xfrm>
        <a:prstGeom prst="roundRect">
          <a:avLst/>
        </a:prstGeom>
      </dgm:spPr>
    </dgm:pt>
    <dgm:pt modelId="{97DFAFAE-918C-4852-8666-90332B9716E2}" type="pres">
      <dgm:prSet presAssocID="{E1F4505A-4BA8-40DB-A4F8-8AA5CAD0CD52}" presName="rootConnector" presStyleLbl="node3" presStyleIdx="14" presStyleCnt="15"/>
      <dgm:spPr/>
    </dgm:pt>
    <dgm:pt modelId="{6927C09C-DE7E-460D-9C01-0C40F8F8EA1B}" type="pres">
      <dgm:prSet presAssocID="{E1F4505A-4BA8-40DB-A4F8-8AA5CAD0CD52}" presName="hierChild4" presStyleCnt="0"/>
      <dgm:spPr/>
    </dgm:pt>
    <dgm:pt modelId="{2B9ABC96-ADA5-4039-8F62-D8A027CE471E}" type="pres">
      <dgm:prSet presAssocID="{E1F4505A-4BA8-40DB-A4F8-8AA5CAD0CD52}" presName="hierChild5" presStyleCnt="0"/>
      <dgm:spPr/>
    </dgm:pt>
    <dgm:pt modelId="{91D2895F-3E53-4BC7-9AB0-1076D1CBD59C}" type="pres">
      <dgm:prSet presAssocID="{ED054F05-DECF-448A-832E-B98612B081A1}" presName="hierChild5" presStyleCnt="0"/>
      <dgm:spPr/>
    </dgm:pt>
    <dgm:pt modelId="{3ABEBA5C-E863-4AB9-8F74-BB798A86922E}" type="pres">
      <dgm:prSet presAssocID="{3D4AA21C-8618-4D88-ADD2-82497DC1C3C8}" presName="hierChild3" presStyleCnt="0"/>
      <dgm:spPr/>
    </dgm:pt>
  </dgm:ptLst>
  <dgm:cxnLst>
    <dgm:cxn modelId="{6ED3C603-97B0-4752-B216-DC9E87E399A5}" srcId="{1007B6F3-05BC-4F7A-8E1A-37C08373F646}" destId="{8B0EAEC7-B4D5-4CF1-85E4-FC7CBAB245A6}" srcOrd="1" destOrd="0" parTransId="{FA1804DE-9856-4A08-B6E3-E8E7C1EC73C0}" sibTransId="{00DA78FB-7979-4ADC-A1E7-89CD20DF37F4}"/>
    <dgm:cxn modelId="{FD164005-3AE0-4D4C-89CF-4EA99F5863A7}" type="presOf" srcId="{4ECF0464-F6E6-4CE3-8866-0ED853614CC9}" destId="{E3C07E89-C63D-4449-9138-B5EE3042C7A8}" srcOrd="0" destOrd="0" presId="urn:microsoft.com/office/officeart/2005/8/layout/orgChart1"/>
    <dgm:cxn modelId="{0A6B2F0A-A50E-4DBE-873E-26B534D57C42}" type="presOf" srcId="{882B9642-DB5D-4415-8141-174046543928}" destId="{DECA7EAF-1BEF-41A3-ABB3-5EAA3BAAF462}" srcOrd="1" destOrd="0" presId="urn:microsoft.com/office/officeart/2005/8/layout/orgChart1"/>
    <dgm:cxn modelId="{A3B08D0A-F9E4-450E-BD9B-29BD70A3F82F}" type="presOf" srcId="{CA170EC8-BD45-473C-9A48-D8E4B862E170}" destId="{0682577A-DD48-4F68-A560-24C92A32267A}" srcOrd="0" destOrd="0" presId="urn:microsoft.com/office/officeart/2005/8/layout/orgChart1"/>
    <dgm:cxn modelId="{F8E8200E-6303-4DEE-AC38-48932013E859}" type="presOf" srcId="{9190B60C-4242-4AB8-BE76-B364159818C9}" destId="{FEA01142-F62E-4F09-955A-6EF0C7069331}" srcOrd="0" destOrd="0" presId="urn:microsoft.com/office/officeart/2005/8/layout/orgChart1"/>
    <dgm:cxn modelId="{4381B015-5A9A-4C3D-BB15-FA8535434B06}" type="presOf" srcId="{2FFF8319-69F4-486B-882F-5B37384F1260}" destId="{D53A79D7-A77E-459E-B55D-EB99EE7432DA}" srcOrd="1" destOrd="0" presId="urn:microsoft.com/office/officeart/2005/8/layout/orgChart1"/>
    <dgm:cxn modelId="{FD74CD19-C19C-4D5B-AB85-B5E4D94F7CA4}" type="presOf" srcId="{DF1228FD-2C6E-4CA0-AE0A-C99AA41C5F56}" destId="{CD77612E-A601-4FF9-812B-09B5C2A66F77}" srcOrd="0" destOrd="0" presId="urn:microsoft.com/office/officeart/2005/8/layout/orgChart1"/>
    <dgm:cxn modelId="{7CEEFE1A-593C-462C-9519-79F14214D9BF}" type="presOf" srcId="{4B850433-3650-48AA-859B-F06BE9D5D2A1}" destId="{A53EE3FD-0868-455B-8BBA-76212B84AD2F}" srcOrd="0" destOrd="0" presId="urn:microsoft.com/office/officeart/2005/8/layout/orgChart1"/>
    <dgm:cxn modelId="{426D991C-BC7B-4286-A3EF-54B92D418A56}" srcId="{3D4AA21C-8618-4D88-ADD2-82497DC1C3C8}" destId="{ED054F05-DECF-448A-832E-B98612B081A1}" srcOrd="3" destOrd="0" parTransId="{759A86B6-2F79-4936-8581-07D0B45049CD}" sibTransId="{5E0090F4-BA9F-4822-A5B4-2C1E9396E774}"/>
    <dgm:cxn modelId="{2A34B621-429B-41E7-8116-28E63095749A}" srcId="{A5AE3037-5CDE-48B1-980D-BF755907F721}" destId="{5CAD7F8E-2D4B-494E-A9B3-8662F2F1C876}" srcOrd="2" destOrd="0" parTransId="{A716377B-5CE5-4BB0-887C-C66ADEDEFCD0}" sibTransId="{393E730C-51B3-4EB3-A4BB-C31B5045F139}"/>
    <dgm:cxn modelId="{9B2D7A24-DB78-4C8D-88B7-D2C0CE2B8877}" srcId="{F69D1FAD-E8C8-4443-9C53-33D08E3DE8CE}" destId="{BAD477F3-63B5-42EE-B3B5-05689244E517}" srcOrd="1" destOrd="0" parTransId="{A3C9C18B-9E10-4A65-87A8-C6D2F29C4622}" sibTransId="{81F2F3B1-1E4B-4A1D-937B-28A35B243ECF}"/>
    <dgm:cxn modelId="{9BEE5B26-D6F8-4972-BF66-84C1420C2CC5}" type="presOf" srcId="{9BC8CF51-76E1-439F-B56B-8E033A2D208A}" destId="{10DB2604-F4DC-4B99-B113-256861ED3A2B}" srcOrd="1" destOrd="0" presId="urn:microsoft.com/office/officeart/2005/8/layout/orgChart1"/>
    <dgm:cxn modelId="{6FF25B28-8B4A-449D-8C3D-C563B932995C}" type="presOf" srcId="{0202D3B0-F039-4A45-9B54-52DE61CC6EBF}" destId="{0E67771F-D6B3-42E0-A4EC-8EA8EA99163C}" srcOrd="0" destOrd="0" presId="urn:microsoft.com/office/officeart/2005/8/layout/orgChart1"/>
    <dgm:cxn modelId="{ADA8CB29-3110-42D9-AEFD-FB30CA9FB48D}" type="presOf" srcId="{3EE6172B-B803-440C-92DD-765D3BC6ACDB}" destId="{24BF0753-546B-46C2-86A1-B85748862C03}" srcOrd="0" destOrd="0" presId="urn:microsoft.com/office/officeart/2005/8/layout/orgChart1"/>
    <dgm:cxn modelId="{C2917830-CC8A-4650-96FC-724CBA803B91}" type="presOf" srcId="{882B9642-DB5D-4415-8141-174046543928}" destId="{6A43EABD-03AA-415F-BE3A-2DD31AB048C5}" srcOrd="0" destOrd="0" presId="urn:microsoft.com/office/officeart/2005/8/layout/orgChart1"/>
    <dgm:cxn modelId="{8716A430-DCC4-4D78-B54E-29B60309C043}" type="presOf" srcId="{1A71B215-4DB9-4CB5-B582-BBADA823F791}" destId="{FA8629FB-C9BE-4CF3-8D6D-3212F2CA21E9}" srcOrd="1" destOrd="0" presId="urn:microsoft.com/office/officeart/2005/8/layout/orgChart1"/>
    <dgm:cxn modelId="{47E26532-67C1-4B9B-A634-EEB885B6C3DA}" type="presOf" srcId="{474A8C66-2F0D-4397-874A-DDCABFDC54EB}" destId="{0D136685-5600-4E30-BED0-84E704D24193}" srcOrd="0" destOrd="0" presId="urn:microsoft.com/office/officeart/2005/8/layout/orgChart1"/>
    <dgm:cxn modelId="{4778E934-AAFF-4DAA-9DBE-8D9EBCA345D3}" type="presOf" srcId="{F69D1FAD-E8C8-4443-9C53-33D08E3DE8CE}" destId="{F929D97E-86BE-4488-B496-35906E1F9CAE}" srcOrd="0" destOrd="0" presId="urn:microsoft.com/office/officeart/2005/8/layout/orgChart1"/>
    <dgm:cxn modelId="{74C4A537-2168-494E-9121-5F78FCFA4DC4}" srcId="{ED054F05-DECF-448A-832E-B98612B081A1}" destId="{E1F4505A-4BA8-40DB-A4F8-8AA5CAD0CD52}" srcOrd="3" destOrd="0" parTransId="{DF1228FD-2C6E-4CA0-AE0A-C99AA41C5F56}" sibTransId="{9C77ACA7-D8D5-4CBC-9B6D-C3BE0C02E19E}"/>
    <dgm:cxn modelId="{A2F57D38-6629-4F0D-A1E5-06908D02D415}" type="presOf" srcId="{F69D1FAD-E8C8-4443-9C53-33D08E3DE8CE}" destId="{B955BC7D-DAC9-4057-99DB-72B0147F93F2}" srcOrd="1" destOrd="0" presId="urn:microsoft.com/office/officeart/2005/8/layout/orgChart1"/>
    <dgm:cxn modelId="{7C467C3C-DA82-4DA1-9166-4291A3425A3C}" type="presOf" srcId="{1007B6F3-05BC-4F7A-8E1A-37C08373F646}" destId="{B971E225-D9F5-478B-8A95-DB5AA24C6662}" srcOrd="1" destOrd="0" presId="urn:microsoft.com/office/officeart/2005/8/layout/orgChart1"/>
    <dgm:cxn modelId="{1EE1ED3E-8431-4CEB-B210-F3FA85AEBEEF}" type="presOf" srcId="{4B850433-3650-48AA-859B-F06BE9D5D2A1}" destId="{C24ACD5D-4A90-452B-B807-DD2ACB3F82D7}" srcOrd="1" destOrd="0" presId="urn:microsoft.com/office/officeart/2005/8/layout/orgChart1"/>
    <dgm:cxn modelId="{11606F5D-72AE-4B60-93DC-5F311426122C}" type="presOf" srcId="{1007B6F3-05BC-4F7A-8E1A-37C08373F646}" destId="{1BE2E877-A98C-4F5E-B162-7E381A985946}" srcOrd="0" destOrd="0" presId="urn:microsoft.com/office/officeart/2005/8/layout/orgChart1"/>
    <dgm:cxn modelId="{CFCB7A42-AF82-45F9-9001-D0C2BA0C1D68}" srcId="{F69D1FAD-E8C8-4443-9C53-33D08E3DE8CE}" destId="{367DA472-A6B5-4A65-AA92-ABD67FD1CC00}" srcOrd="2" destOrd="0" parTransId="{9190B60C-4242-4AB8-BE76-B364159818C9}" sibTransId="{15DB7952-266A-46BB-A9FF-6186DD342E36}"/>
    <dgm:cxn modelId="{57DC6863-7B8D-4255-A91E-13AB24FFDBCA}" type="presOf" srcId="{A5AE3037-5CDE-48B1-980D-BF755907F721}" destId="{6280D6AE-52C6-48FA-A310-9B841171A626}" srcOrd="1" destOrd="0" presId="urn:microsoft.com/office/officeart/2005/8/layout/orgChart1"/>
    <dgm:cxn modelId="{9462EE48-C752-4738-8121-7C5F5D8E3EA9}" srcId="{1007B6F3-05BC-4F7A-8E1A-37C08373F646}" destId="{0202D3B0-F039-4A45-9B54-52DE61CC6EBF}" srcOrd="2" destOrd="0" parTransId="{3DA5B83C-D6D6-4F7C-810E-D00E25F2DA99}" sibTransId="{B9F88689-25EB-4604-9BE4-089FAC838E94}"/>
    <dgm:cxn modelId="{5E6F4D49-0E13-4B7D-A485-A1B48DFB85C7}" type="presOf" srcId="{5CAD7F8E-2D4B-494E-A9B3-8662F2F1C876}" destId="{669661FF-25DD-4243-AB62-68FDBEE0DB7C}" srcOrd="1" destOrd="0" presId="urn:microsoft.com/office/officeart/2005/8/layout/orgChart1"/>
    <dgm:cxn modelId="{E7D98C6C-93EC-4047-A230-5F488CE8A48C}" type="presOf" srcId="{AA47E5F8-22DB-44AD-8B74-4C34F69629B7}" destId="{3233BCA5-2C84-43F7-943C-C8F551BB69F0}" srcOrd="0" destOrd="0" presId="urn:microsoft.com/office/officeart/2005/8/layout/orgChart1"/>
    <dgm:cxn modelId="{BE4A0A6D-A8E9-4536-8DC9-40AC04BA8BC1}" type="presOf" srcId="{F56A11B0-F829-4403-B03B-66574A081A1D}" destId="{F512030C-FBC5-4D3B-A89E-F874314E7A02}" srcOrd="1" destOrd="0" presId="urn:microsoft.com/office/officeart/2005/8/layout/orgChart1"/>
    <dgm:cxn modelId="{AD861E6E-30BC-4B91-8917-8CA0A2119A1D}" type="presOf" srcId="{BAD477F3-63B5-42EE-B3B5-05689244E517}" destId="{1BB92FE5-CE5A-41FE-B673-C4A4F62BF5AB}" srcOrd="0" destOrd="0" presId="urn:microsoft.com/office/officeart/2005/8/layout/orgChart1"/>
    <dgm:cxn modelId="{0E9EBF6F-6BD8-4505-A180-4B35B02D943F}" srcId="{F69D1FAD-E8C8-4443-9C53-33D08E3DE8CE}" destId="{3C4C5D30-0EF7-4DEB-A515-56AD53EECC8E}" srcOrd="3" destOrd="0" parTransId="{08563A5C-3D65-4FB4-A0E1-BB3A09C1EE2E}" sibTransId="{0B0BDF74-D458-4886-A29B-2E7D532DDCEC}"/>
    <dgm:cxn modelId="{63B51D50-52CA-4E5F-B004-BA5FF7D5A70A}" type="presOf" srcId="{2FFF8319-69F4-486B-882F-5B37384F1260}" destId="{16466F66-21BE-440C-AFE1-27401EFCD165}" srcOrd="0" destOrd="0" presId="urn:microsoft.com/office/officeart/2005/8/layout/orgChart1"/>
    <dgm:cxn modelId="{0992BD51-A0AE-4CEC-9BB8-0670A828A69C}" type="presOf" srcId="{E2EA3DBF-0B05-4BE9-80CF-CD8065633172}" destId="{98DD77B9-6508-4827-9493-60FB472DE478}" srcOrd="0" destOrd="0" presId="urn:microsoft.com/office/officeart/2005/8/layout/orgChart1"/>
    <dgm:cxn modelId="{348ADE71-4DE7-4FC4-8AD4-2C3B295510A4}" srcId="{A5AE3037-5CDE-48B1-980D-BF755907F721}" destId="{F56A11B0-F829-4403-B03B-66574A081A1D}" srcOrd="0" destOrd="0" parTransId="{3EE6172B-B803-440C-92DD-765D3BC6ACDB}" sibTransId="{1795EB77-CC6C-4AC9-AEB9-E8649F4A642D}"/>
    <dgm:cxn modelId="{08CB1352-9D2B-4E43-AAF9-F7A9ABDF048D}" type="presOf" srcId="{4885AE7B-142E-47E1-9F50-1EE0928EE6FD}" destId="{85F37B29-5104-422E-85BD-743A5D3FCBEE}" srcOrd="0" destOrd="0" presId="urn:microsoft.com/office/officeart/2005/8/layout/orgChart1"/>
    <dgm:cxn modelId="{A8CE5772-9349-42E6-A708-62E57BAA0D22}" type="presOf" srcId="{1768B429-B295-4E12-A4E5-2959760A26BB}" destId="{FE6A734C-CD98-41BA-B25A-1C4D4AE8317A}" srcOrd="0" destOrd="0" presId="urn:microsoft.com/office/officeart/2005/8/layout/orgChart1"/>
    <dgm:cxn modelId="{5E97D352-E701-45B2-AC47-7FC0773CA41F}" srcId="{F69D1FAD-E8C8-4443-9C53-33D08E3DE8CE}" destId="{4B850433-3650-48AA-859B-F06BE9D5D2A1}" srcOrd="0" destOrd="0" parTransId="{7B0DE2BE-30B8-41A2-9742-9F7D501ABEE0}" sibTransId="{10704553-64AA-4B37-B0EC-C2F455ECB4C5}"/>
    <dgm:cxn modelId="{D7F22C73-C384-416C-8402-4CED0575F3A4}" type="presOf" srcId="{A5AE3037-5CDE-48B1-980D-BF755907F721}" destId="{42D1E0BE-354F-4E3C-8806-1977ECF66EA1}" srcOrd="0" destOrd="0" presId="urn:microsoft.com/office/officeart/2005/8/layout/orgChart1"/>
    <dgm:cxn modelId="{51015C53-54FB-47EC-9B3E-9C37C81D3C33}" type="presOf" srcId="{367DA472-A6B5-4A65-AA92-ABD67FD1CC00}" destId="{B509DCB6-92BF-408D-9332-348533AC8AE4}" srcOrd="0" destOrd="0" presId="urn:microsoft.com/office/officeart/2005/8/layout/orgChart1"/>
    <dgm:cxn modelId="{95CA4473-4507-4D0E-AD48-2EA663AB6E46}" type="presOf" srcId="{728EF172-F1A2-4630-ACBD-09151A8D42E0}" destId="{25CBE439-FF8E-48F7-B5EE-F025139ED159}" srcOrd="0" destOrd="0" presId="urn:microsoft.com/office/officeart/2005/8/layout/orgChart1"/>
    <dgm:cxn modelId="{058BF573-CF72-49AE-A72A-A02138CB8FFC}" type="presOf" srcId="{FA1804DE-9856-4A08-B6E3-E8E7C1EC73C0}" destId="{D978C072-8E92-43C4-91B3-F3E661B7ABAC}" srcOrd="0" destOrd="0" presId="urn:microsoft.com/office/officeart/2005/8/layout/orgChart1"/>
    <dgm:cxn modelId="{26035A75-A7B8-481A-9B7C-A1DD774E82AB}" srcId="{1007B6F3-05BC-4F7A-8E1A-37C08373F646}" destId="{882B9642-DB5D-4415-8141-174046543928}" srcOrd="0" destOrd="0" parTransId="{1768B429-B295-4E12-A4E5-2959760A26BB}" sibTransId="{CEF1BA8D-8962-4916-A848-7A69DE1F430D}"/>
    <dgm:cxn modelId="{B925A275-F9A9-464C-A82D-BEC72209DAB3}" type="presOf" srcId="{8B0EAEC7-B4D5-4CF1-85E4-FC7CBAB245A6}" destId="{19B89C79-DE41-4F48-9743-7325556D13A7}" srcOrd="0" destOrd="0" presId="urn:microsoft.com/office/officeart/2005/8/layout/orgChart1"/>
    <dgm:cxn modelId="{8EB18B56-0FF5-4913-838C-F59B1C48F799}" type="presOf" srcId="{66822BD2-E0EA-4B23-8515-68CA5DAF36F2}" destId="{340D405E-7980-48FF-92E8-4B1BA0904690}" srcOrd="0" destOrd="0" presId="urn:microsoft.com/office/officeart/2005/8/layout/orgChart1"/>
    <dgm:cxn modelId="{93F18259-AED6-4DA6-94FA-A7AFD1FDCFE6}" type="presOf" srcId="{E1F4505A-4BA8-40DB-A4F8-8AA5CAD0CD52}" destId="{20D7B8A2-4EB4-46B9-936F-BD8D162C4F1E}" srcOrd="0" destOrd="0" presId="urn:microsoft.com/office/officeart/2005/8/layout/orgChart1"/>
    <dgm:cxn modelId="{D8C6AE59-B514-4E49-B886-5105775305CC}" type="presOf" srcId="{BAD477F3-63B5-42EE-B3B5-05689244E517}" destId="{C55C49B2-409B-4525-9D61-0D463E355467}" srcOrd="1" destOrd="0" presId="urn:microsoft.com/office/officeart/2005/8/layout/orgChart1"/>
    <dgm:cxn modelId="{D691947F-83DF-42ED-92C7-3DB7E354FEC7}" type="presOf" srcId="{0202D3B0-F039-4A45-9B54-52DE61CC6EBF}" destId="{56227AB4-9AF1-4700-B97A-335834EB032E}" srcOrd="1" destOrd="0" presId="urn:microsoft.com/office/officeart/2005/8/layout/orgChart1"/>
    <dgm:cxn modelId="{204D9380-A8FB-4AEE-9320-ABE20AB8D9C3}" type="presOf" srcId="{3D4AA21C-8618-4D88-ADD2-82497DC1C3C8}" destId="{C9906B2A-6D0D-4B97-86E9-67AB72BB51C3}" srcOrd="0" destOrd="0" presId="urn:microsoft.com/office/officeart/2005/8/layout/orgChart1"/>
    <dgm:cxn modelId="{F88EC982-2F55-4262-B195-28979D5D81EA}" type="presOf" srcId="{3DA5B83C-D6D6-4F7C-810E-D00E25F2DA99}" destId="{8E487ED1-854B-4A52-9737-AAF07A5B6561}" srcOrd="0" destOrd="0" presId="urn:microsoft.com/office/officeart/2005/8/layout/orgChart1"/>
    <dgm:cxn modelId="{1D5E9889-F8A7-456A-8743-9102DDFBADFA}" type="presOf" srcId="{367DA472-A6B5-4A65-AA92-ABD67FD1CC00}" destId="{260E8905-E423-4F36-BAD2-9471CD368CFA}" srcOrd="1" destOrd="0" presId="urn:microsoft.com/office/officeart/2005/8/layout/orgChart1"/>
    <dgm:cxn modelId="{274C438A-3C87-4F83-B4D5-19F903E6094D}" type="presOf" srcId="{DC323120-D202-4A8E-953D-322761F16AE2}" destId="{F92DD1E1-B9A1-46FB-97E4-955B61300390}" srcOrd="0" destOrd="0" presId="urn:microsoft.com/office/officeart/2005/8/layout/orgChart1"/>
    <dgm:cxn modelId="{B9E5FE8A-9065-453B-89A8-EA26ACF8C886}" type="presOf" srcId="{728EF172-F1A2-4630-ACBD-09151A8D42E0}" destId="{EA9065D7-9704-4C0A-8D0D-77EE2F0AF926}" srcOrd="1" destOrd="0" presId="urn:microsoft.com/office/officeart/2005/8/layout/orgChart1"/>
    <dgm:cxn modelId="{FCB5A58B-E24A-469E-A23E-5C47ED6D1DBE}" srcId="{ED054F05-DECF-448A-832E-B98612B081A1}" destId="{66822BD2-E0EA-4B23-8515-68CA5DAF36F2}" srcOrd="1" destOrd="0" parTransId="{CA170EC8-BD45-473C-9A48-D8E4B862E170}" sibTransId="{9E76F400-F081-40C5-B061-15C7F717FAD8}"/>
    <dgm:cxn modelId="{29621792-B578-4565-B956-BF34C6A2DA21}" type="presOf" srcId="{7B0DE2BE-30B8-41A2-9742-9F7D501ABEE0}" destId="{3BF4E0A2-533F-46EF-B1EF-8466DEC47284}" srcOrd="0" destOrd="0" presId="urn:microsoft.com/office/officeart/2005/8/layout/orgChart1"/>
    <dgm:cxn modelId="{668BA597-DDEE-4B67-B449-41F893AFC336}" type="presOf" srcId="{E0E28DCF-A5AB-4C9B-8D6E-5C57C3D6B80D}" destId="{07890C3C-0C34-43C6-B53A-43502EC7872E}" srcOrd="0" destOrd="0" presId="urn:microsoft.com/office/officeart/2005/8/layout/orgChart1"/>
    <dgm:cxn modelId="{FCD2CD9A-46AD-4F66-B86C-87704A5A58AB}" type="presOf" srcId="{9BC8CF51-76E1-439F-B56B-8E033A2D208A}" destId="{401C7678-EDD1-48C6-9768-EBF5BECCC531}" srcOrd="0" destOrd="0" presId="urn:microsoft.com/office/officeart/2005/8/layout/orgChart1"/>
    <dgm:cxn modelId="{574395A3-1FFD-404B-9EBD-795AC6B1F259}" type="presOf" srcId="{ED054F05-DECF-448A-832E-B98612B081A1}" destId="{93AA080D-57AE-4E81-958D-F9A1D38E6CF3}" srcOrd="1" destOrd="0" presId="urn:microsoft.com/office/officeart/2005/8/layout/orgChart1"/>
    <dgm:cxn modelId="{9C8B85A5-4540-435D-A91C-6B1075FAB580}" type="presOf" srcId="{8B0EAEC7-B4D5-4CF1-85E4-FC7CBAB245A6}" destId="{135572E7-D0A9-47F1-B57C-3842E7D4BA7A}" srcOrd="1" destOrd="0" presId="urn:microsoft.com/office/officeart/2005/8/layout/orgChart1"/>
    <dgm:cxn modelId="{22DD7BAC-F9DF-411B-88E6-720DFA01CEE2}" srcId="{1007B6F3-05BC-4F7A-8E1A-37C08373F646}" destId="{9BC8CF51-76E1-439F-B56B-8E033A2D208A}" srcOrd="3" destOrd="0" parTransId="{4885AE7B-142E-47E1-9F50-1EE0928EE6FD}" sibTransId="{C2970C0B-7658-4D87-B3E6-1A6F4D309343}"/>
    <dgm:cxn modelId="{4A9D80B2-A778-4F3C-BF32-893B6F3B935A}" srcId="{A5AE3037-5CDE-48B1-980D-BF755907F721}" destId="{2FFF8319-69F4-486B-882F-5B37384F1260}" srcOrd="1" destOrd="0" parTransId="{4ECF0464-F6E6-4CE3-8866-0ED853614CC9}" sibTransId="{9D29A0EC-B56A-4231-9A14-54A739D4E7C0}"/>
    <dgm:cxn modelId="{E12D52B8-7AF8-41E4-8169-4569F54348E5}" srcId="{3D4AA21C-8618-4D88-ADD2-82497DC1C3C8}" destId="{A5AE3037-5CDE-48B1-980D-BF755907F721}" srcOrd="0" destOrd="0" parTransId="{E2EA3DBF-0B05-4BE9-80CF-CD8065633172}" sibTransId="{4B6C03A1-DC02-49AD-83B0-4E4E3C4E4627}"/>
    <dgm:cxn modelId="{6352A2BA-9E7F-4570-889D-EA0DDCFBA85E}" type="presOf" srcId="{E1F4505A-4BA8-40DB-A4F8-8AA5CAD0CD52}" destId="{97DFAFAE-918C-4852-8666-90332B9716E2}" srcOrd="1" destOrd="0" presId="urn:microsoft.com/office/officeart/2005/8/layout/orgChart1"/>
    <dgm:cxn modelId="{F56F7FBB-D02E-4B82-A727-8F1A3DE0EADA}" srcId="{3D4AA21C-8618-4D88-ADD2-82497DC1C3C8}" destId="{F69D1FAD-E8C8-4443-9C53-33D08E3DE8CE}" srcOrd="2" destOrd="0" parTransId="{474A8C66-2F0D-4397-874A-DDCABFDC54EB}" sibTransId="{F2361F06-5F23-4E4E-93B2-3A55630A94F3}"/>
    <dgm:cxn modelId="{7739B4C3-B854-40A4-81F8-0C0D9F612EBC}" type="presOf" srcId="{3C4C5D30-0EF7-4DEB-A515-56AD53EECC8E}" destId="{BA66925A-19AD-4928-8544-E7C599854C15}" srcOrd="1" destOrd="0" presId="urn:microsoft.com/office/officeart/2005/8/layout/orgChart1"/>
    <dgm:cxn modelId="{222756DB-17AE-4FBF-9E65-D155B7067C18}" type="presOf" srcId="{1A71B215-4DB9-4CB5-B582-BBADA823F791}" destId="{16256827-AD03-4423-92C1-0FDBEE3D6F20}" srcOrd="0" destOrd="0" presId="urn:microsoft.com/office/officeart/2005/8/layout/orgChart1"/>
    <dgm:cxn modelId="{EE987EDD-7F0C-4008-95C8-049C3E99239D}" type="presOf" srcId="{5CAD7F8E-2D4B-494E-A9B3-8662F2F1C876}" destId="{2841514A-A0DB-45C8-A350-781612C53CB7}" srcOrd="0" destOrd="0" presId="urn:microsoft.com/office/officeart/2005/8/layout/orgChart1"/>
    <dgm:cxn modelId="{46DFFAE5-E9B3-442D-8886-0EC664DB1920}" type="presOf" srcId="{CA0C4A7D-87B4-42FC-B473-86E796E6DB38}" destId="{AE5E83A7-0964-4C8F-AE38-A162F9EC1141}" srcOrd="0" destOrd="0" presId="urn:microsoft.com/office/officeart/2005/8/layout/orgChart1"/>
    <dgm:cxn modelId="{A1DA7FE7-17AF-472E-B24E-CC02037BB48B}" type="presOf" srcId="{ED054F05-DECF-448A-832E-B98612B081A1}" destId="{0A209B85-31FA-4E41-BE45-2EB0F430555C}" srcOrd="0" destOrd="0" presId="urn:microsoft.com/office/officeart/2005/8/layout/orgChart1"/>
    <dgm:cxn modelId="{5842D9E7-7CCB-4B0B-80EF-C642F60D8984}" type="presOf" srcId="{F56A11B0-F829-4403-B03B-66574A081A1D}" destId="{6D82EA0F-014F-47C5-883A-DB387EA6CDAE}" srcOrd="0" destOrd="0" presId="urn:microsoft.com/office/officeart/2005/8/layout/orgChart1"/>
    <dgm:cxn modelId="{DDD991E8-0698-44E8-A37F-6B5F05ED00D4}" srcId="{ED054F05-DECF-448A-832E-B98612B081A1}" destId="{728EF172-F1A2-4630-ACBD-09151A8D42E0}" srcOrd="0" destOrd="0" parTransId="{E0E28DCF-A5AB-4C9B-8D6E-5C57C3D6B80D}" sibTransId="{06896C4B-0AE3-4711-993A-9BB0A56EB6F2}"/>
    <dgm:cxn modelId="{4D50DEE8-3F3F-4BB1-865F-E6D23F0FFF74}" type="presOf" srcId="{3D4AA21C-8618-4D88-ADD2-82497DC1C3C8}" destId="{02ACD5D0-6C9D-484A-BD23-29ABC006DAEA}" srcOrd="1" destOrd="0" presId="urn:microsoft.com/office/officeart/2005/8/layout/orgChart1"/>
    <dgm:cxn modelId="{8C7B12E9-9CF0-45C0-9307-1978F08FF27F}" type="presOf" srcId="{66822BD2-E0EA-4B23-8515-68CA5DAF36F2}" destId="{8CF0BE38-64A4-48F7-91EA-1C5DF9DE28BA}" srcOrd="1" destOrd="0" presId="urn:microsoft.com/office/officeart/2005/8/layout/orgChart1"/>
    <dgm:cxn modelId="{E36013EA-09C0-49C1-8A23-0972C103C6BA}" srcId="{3D4AA21C-8618-4D88-ADD2-82497DC1C3C8}" destId="{1007B6F3-05BC-4F7A-8E1A-37C08373F646}" srcOrd="1" destOrd="0" parTransId="{DC323120-D202-4A8E-953D-322761F16AE2}" sibTransId="{228E9085-F602-4C47-9F8C-5187B1EC5A82}"/>
    <dgm:cxn modelId="{1A5ECEEA-F688-415C-8B77-E5EF3A25757D}" type="presOf" srcId="{A3C9C18B-9E10-4A65-87A8-C6D2F29C4622}" destId="{FD2BD50E-D384-49FE-BB00-71E6AEEEE500}" srcOrd="0" destOrd="0" presId="urn:microsoft.com/office/officeart/2005/8/layout/orgChart1"/>
    <dgm:cxn modelId="{305577ED-3625-4E9D-8C9B-56DA887498F6}" type="presOf" srcId="{759A86B6-2F79-4936-8581-07D0B45049CD}" destId="{93F63975-AD3A-48CE-8A6A-39CA9BB236AA}" srcOrd="0" destOrd="0" presId="urn:microsoft.com/office/officeart/2005/8/layout/orgChart1"/>
    <dgm:cxn modelId="{A89F57EF-47EA-409E-906D-5EE9A6044583}" type="presOf" srcId="{A716377B-5CE5-4BB0-887C-C66ADEDEFCD0}" destId="{A87082C9-45F3-410C-83B8-8C1C4E93FA1C}" srcOrd="0" destOrd="0" presId="urn:microsoft.com/office/officeart/2005/8/layout/orgChart1"/>
    <dgm:cxn modelId="{1EF24BF4-A328-4580-AA27-9957DBA3756A}" type="presOf" srcId="{3C4C5D30-0EF7-4DEB-A515-56AD53EECC8E}" destId="{E15D6C05-87C2-4F46-9AA3-4B39FA24F6A2}" srcOrd="0" destOrd="0" presId="urn:microsoft.com/office/officeart/2005/8/layout/orgChart1"/>
    <dgm:cxn modelId="{9DCE5FF6-F55A-482D-BDE1-C8BCA24B717C}" type="presOf" srcId="{08563A5C-3D65-4FB4-A0E1-BB3A09C1EE2E}" destId="{E100F4B1-0BDD-4045-BB9D-156682492EAA}" srcOrd="0" destOrd="0" presId="urn:microsoft.com/office/officeart/2005/8/layout/orgChart1"/>
    <dgm:cxn modelId="{F49C61F9-6346-4223-916A-0CDD3FF00F58}" srcId="{CA0C4A7D-87B4-42FC-B473-86E796E6DB38}" destId="{3D4AA21C-8618-4D88-ADD2-82497DC1C3C8}" srcOrd="0" destOrd="0" parTransId="{55DD5BB0-27D4-4C12-9A68-2D22B56B3DB9}" sibTransId="{BA36D946-1E1C-4B8A-8920-C56DB42187D5}"/>
    <dgm:cxn modelId="{DA3982FC-4740-425C-ACA7-E517BC4F3B22}" srcId="{ED054F05-DECF-448A-832E-B98612B081A1}" destId="{1A71B215-4DB9-4CB5-B582-BBADA823F791}" srcOrd="2" destOrd="0" parTransId="{AA47E5F8-22DB-44AD-8B74-4C34F69629B7}" sibTransId="{8A90C784-8059-473D-837C-490CF9149445}"/>
    <dgm:cxn modelId="{862E5FAE-F4C5-4F85-B39A-7476FBCF7B59}" type="presParOf" srcId="{AE5E83A7-0964-4C8F-AE38-A162F9EC1141}" destId="{03C0F827-EF46-4C6A-8A7B-173F39D63C47}" srcOrd="0" destOrd="0" presId="urn:microsoft.com/office/officeart/2005/8/layout/orgChart1"/>
    <dgm:cxn modelId="{7D3E24A5-A34A-4292-8689-3AD14D288F1B}" type="presParOf" srcId="{03C0F827-EF46-4C6A-8A7B-173F39D63C47}" destId="{C17EA8BB-09B7-4C3C-8988-EB642C1DB8DA}" srcOrd="0" destOrd="0" presId="urn:microsoft.com/office/officeart/2005/8/layout/orgChart1"/>
    <dgm:cxn modelId="{37B304BE-9525-4A34-8ACD-01E6413768BA}" type="presParOf" srcId="{C17EA8BB-09B7-4C3C-8988-EB642C1DB8DA}" destId="{C9906B2A-6D0D-4B97-86E9-67AB72BB51C3}" srcOrd="0" destOrd="0" presId="urn:microsoft.com/office/officeart/2005/8/layout/orgChart1"/>
    <dgm:cxn modelId="{5039B660-3600-4E45-AA64-30BA62BE3CAB}" type="presParOf" srcId="{C17EA8BB-09B7-4C3C-8988-EB642C1DB8DA}" destId="{02ACD5D0-6C9D-484A-BD23-29ABC006DAEA}" srcOrd="1" destOrd="0" presId="urn:microsoft.com/office/officeart/2005/8/layout/orgChart1"/>
    <dgm:cxn modelId="{16DED783-FCC5-45E0-8E85-6F4048F509B8}" type="presParOf" srcId="{03C0F827-EF46-4C6A-8A7B-173F39D63C47}" destId="{FF8BCAD5-BE9A-4430-BBC0-D43BA79507C0}" srcOrd="1" destOrd="0" presId="urn:microsoft.com/office/officeart/2005/8/layout/orgChart1"/>
    <dgm:cxn modelId="{3AED6512-781A-4E1C-ACA2-F13F5FAC2B9B}" type="presParOf" srcId="{FF8BCAD5-BE9A-4430-BBC0-D43BA79507C0}" destId="{98DD77B9-6508-4827-9493-60FB472DE478}" srcOrd="0" destOrd="0" presId="urn:microsoft.com/office/officeart/2005/8/layout/orgChart1"/>
    <dgm:cxn modelId="{55ED747C-6F30-4378-83C7-C06EBA291995}" type="presParOf" srcId="{FF8BCAD5-BE9A-4430-BBC0-D43BA79507C0}" destId="{1575CE88-5799-4DA5-9BC6-09897D82DF48}" srcOrd="1" destOrd="0" presId="urn:microsoft.com/office/officeart/2005/8/layout/orgChart1"/>
    <dgm:cxn modelId="{80730711-9F88-4D75-8EF9-922356F5F4ED}" type="presParOf" srcId="{1575CE88-5799-4DA5-9BC6-09897D82DF48}" destId="{F09DB981-3CD5-4201-8323-D09C948E8960}" srcOrd="0" destOrd="0" presId="urn:microsoft.com/office/officeart/2005/8/layout/orgChart1"/>
    <dgm:cxn modelId="{002D00EC-5DB7-4458-8C9F-5CDF95CA588C}" type="presParOf" srcId="{F09DB981-3CD5-4201-8323-D09C948E8960}" destId="{42D1E0BE-354F-4E3C-8806-1977ECF66EA1}" srcOrd="0" destOrd="0" presId="urn:microsoft.com/office/officeart/2005/8/layout/orgChart1"/>
    <dgm:cxn modelId="{A15BB471-2C99-4A22-B652-6190D24B907D}" type="presParOf" srcId="{F09DB981-3CD5-4201-8323-D09C948E8960}" destId="{6280D6AE-52C6-48FA-A310-9B841171A626}" srcOrd="1" destOrd="0" presId="urn:microsoft.com/office/officeart/2005/8/layout/orgChart1"/>
    <dgm:cxn modelId="{47AF0B24-FACD-4593-A545-C12EA5EB5AB8}" type="presParOf" srcId="{1575CE88-5799-4DA5-9BC6-09897D82DF48}" destId="{E2551EF9-F6B8-4D10-ADCE-CA18AB6F6C19}" srcOrd="1" destOrd="0" presId="urn:microsoft.com/office/officeart/2005/8/layout/orgChart1"/>
    <dgm:cxn modelId="{7943FBE6-20A1-4C39-B727-F5936F3BFB6F}" type="presParOf" srcId="{E2551EF9-F6B8-4D10-ADCE-CA18AB6F6C19}" destId="{24BF0753-546B-46C2-86A1-B85748862C03}" srcOrd="0" destOrd="0" presId="urn:microsoft.com/office/officeart/2005/8/layout/orgChart1"/>
    <dgm:cxn modelId="{151C84AF-3C29-4A27-9146-F9D8A001677A}" type="presParOf" srcId="{E2551EF9-F6B8-4D10-ADCE-CA18AB6F6C19}" destId="{8697166C-E6C4-4FAC-9932-876C66AFF466}" srcOrd="1" destOrd="0" presId="urn:microsoft.com/office/officeart/2005/8/layout/orgChart1"/>
    <dgm:cxn modelId="{3E2D2B0A-74C3-43C6-A8E1-41B399B5FADE}" type="presParOf" srcId="{8697166C-E6C4-4FAC-9932-876C66AFF466}" destId="{288D150C-2503-4F00-B391-0AABDF1A2B25}" srcOrd="0" destOrd="0" presId="urn:microsoft.com/office/officeart/2005/8/layout/orgChart1"/>
    <dgm:cxn modelId="{4BCE2F4E-EE82-4F37-A584-57E37DB84603}" type="presParOf" srcId="{288D150C-2503-4F00-B391-0AABDF1A2B25}" destId="{6D82EA0F-014F-47C5-883A-DB387EA6CDAE}" srcOrd="0" destOrd="0" presId="urn:microsoft.com/office/officeart/2005/8/layout/orgChart1"/>
    <dgm:cxn modelId="{B16EDDDA-40CD-4884-9943-55ED2D772A69}" type="presParOf" srcId="{288D150C-2503-4F00-B391-0AABDF1A2B25}" destId="{F512030C-FBC5-4D3B-A89E-F874314E7A02}" srcOrd="1" destOrd="0" presId="urn:microsoft.com/office/officeart/2005/8/layout/orgChart1"/>
    <dgm:cxn modelId="{619C0858-7A22-4A23-8899-515C4F04AD40}" type="presParOf" srcId="{8697166C-E6C4-4FAC-9932-876C66AFF466}" destId="{EEE75C39-9E08-4ACA-8276-F910AEA8229E}" srcOrd="1" destOrd="0" presId="urn:microsoft.com/office/officeart/2005/8/layout/orgChart1"/>
    <dgm:cxn modelId="{C90233A1-F2D8-4451-8227-1187265755F0}" type="presParOf" srcId="{8697166C-E6C4-4FAC-9932-876C66AFF466}" destId="{FC544A9F-2494-4136-ADB2-6C417971A872}" srcOrd="2" destOrd="0" presId="urn:microsoft.com/office/officeart/2005/8/layout/orgChart1"/>
    <dgm:cxn modelId="{BB5B751C-917E-4E3B-94CB-A29677CDD833}" type="presParOf" srcId="{E2551EF9-F6B8-4D10-ADCE-CA18AB6F6C19}" destId="{E3C07E89-C63D-4449-9138-B5EE3042C7A8}" srcOrd="2" destOrd="0" presId="urn:microsoft.com/office/officeart/2005/8/layout/orgChart1"/>
    <dgm:cxn modelId="{B3A89F9B-9638-460F-B907-54866369355D}" type="presParOf" srcId="{E2551EF9-F6B8-4D10-ADCE-CA18AB6F6C19}" destId="{21231F1F-CAD0-4EB2-A434-8F3A9A0C0BD5}" srcOrd="3" destOrd="0" presId="urn:microsoft.com/office/officeart/2005/8/layout/orgChart1"/>
    <dgm:cxn modelId="{61D1132F-14C6-4794-A487-F5DBEDA87566}" type="presParOf" srcId="{21231F1F-CAD0-4EB2-A434-8F3A9A0C0BD5}" destId="{875569A0-C5C9-4FF7-87B8-70C23F8F6DD7}" srcOrd="0" destOrd="0" presId="urn:microsoft.com/office/officeart/2005/8/layout/orgChart1"/>
    <dgm:cxn modelId="{9044972E-349A-47F6-BC72-1F512B44DD4C}" type="presParOf" srcId="{875569A0-C5C9-4FF7-87B8-70C23F8F6DD7}" destId="{16466F66-21BE-440C-AFE1-27401EFCD165}" srcOrd="0" destOrd="0" presId="urn:microsoft.com/office/officeart/2005/8/layout/orgChart1"/>
    <dgm:cxn modelId="{88FF593D-3A24-4848-9EAC-41388E08B089}" type="presParOf" srcId="{875569A0-C5C9-4FF7-87B8-70C23F8F6DD7}" destId="{D53A79D7-A77E-459E-B55D-EB99EE7432DA}" srcOrd="1" destOrd="0" presId="urn:microsoft.com/office/officeart/2005/8/layout/orgChart1"/>
    <dgm:cxn modelId="{7049A80E-8444-4A65-B62B-43A80D6495D0}" type="presParOf" srcId="{21231F1F-CAD0-4EB2-A434-8F3A9A0C0BD5}" destId="{BC9CDFBC-A3BD-4452-8253-FC21870E061E}" srcOrd="1" destOrd="0" presId="urn:microsoft.com/office/officeart/2005/8/layout/orgChart1"/>
    <dgm:cxn modelId="{DA9474A1-06EC-416B-A44B-AB57AACFD9F0}" type="presParOf" srcId="{21231F1F-CAD0-4EB2-A434-8F3A9A0C0BD5}" destId="{72FF905A-11BA-41AD-B5F5-3E7D0248EAC5}" srcOrd="2" destOrd="0" presId="urn:microsoft.com/office/officeart/2005/8/layout/orgChart1"/>
    <dgm:cxn modelId="{49C140D2-2B37-4750-A692-B78DBCC8497A}" type="presParOf" srcId="{E2551EF9-F6B8-4D10-ADCE-CA18AB6F6C19}" destId="{A87082C9-45F3-410C-83B8-8C1C4E93FA1C}" srcOrd="4" destOrd="0" presId="urn:microsoft.com/office/officeart/2005/8/layout/orgChart1"/>
    <dgm:cxn modelId="{1CE5EBED-EF99-4929-B1EB-3C0068221D10}" type="presParOf" srcId="{E2551EF9-F6B8-4D10-ADCE-CA18AB6F6C19}" destId="{5829CBEC-FF79-45A1-A645-BDDC9CDFC4C1}" srcOrd="5" destOrd="0" presId="urn:microsoft.com/office/officeart/2005/8/layout/orgChart1"/>
    <dgm:cxn modelId="{EB065F6C-2D9F-4FD3-BE04-D2AFCEBFF62F}" type="presParOf" srcId="{5829CBEC-FF79-45A1-A645-BDDC9CDFC4C1}" destId="{3385CAAA-3FDB-49A4-A502-B8C3537CDCA1}" srcOrd="0" destOrd="0" presId="urn:microsoft.com/office/officeart/2005/8/layout/orgChart1"/>
    <dgm:cxn modelId="{DBDB100D-CEC0-4071-B5E3-5727C6195E4A}" type="presParOf" srcId="{3385CAAA-3FDB-49A4-A502-B8C3537CDCA1}" destId="{2841514A-A0DB-45C8-A350-781612C53CB7}" srcOrd="0" destOrd="0" presId="urn:microsoft.com/office/officeart/2005/8/layout/orgChart1"/>
    <dgm:cxn modelId="{773AFBAF-312C-43A7-9625-878CDCA65933}" type="presParOf" srcId="{3385CAAA-3FDB-49A4-A502-B8C3537CDCA1}" destId="{669661FF-25DD-4243-AB62-68FDBEE0DB7C}" srcOrd="1" destOrd="0" presId="urn:microsoft.com/office/officeart/2005/8/layout/orgChart1"/>
    <dgm:cxn modelId="{DFBD8F52-243B-4880-825F-B407EF798B17}" type="presParOf" srcId="{5829CBEC-FF79-45A1-A645-BDDC9CDFC4C1}" destId="{67183722-17A1-4727-AAA6-0A14AB58ED05}" srcOrd="1" destOrd="0" presId="urn:microsoft.com/office/officeart/2005/8/layout/orgChart1"/>
    <dgm:cxn modelId="{F23C875C-2970-422F-B1EA-536ED711933F}" type="presParOf" srcId="{5829CBEC-FF79-45A1-A645-BDDC9CDFC4C1}" destId="{10FEBB28-75D6-4A28-A5E8-76720F8194DB}" srcOrd="2" destOrd="0" presId="urn:microsoft.com/office/officeart/2005/8/layout/orgChart1"/>
    <dgm:cxn modelId="{2AC224BA-003A-429D-A131-0A67A6DC4C7E}" type="presParOf" srcId="{1575CE88-5799-4DA5-9BC6-09897D82DF48}" destId="{0BA468DC-1E4F-47B6-834D-E8FC08A235B4}" srcOrd="2" destOrd="0" presId="urn:microsoft.com/office/officeart/2005/8/layout/orgChart1"/>
    <dgm:cxn modelId="{CD035174-E76B-4A80-B0D1-0544EC4F26CD}" type="presParOf" srcId="{FF8BCAD5-BE9A-4430-BBC0-D43BA79507C0}" destId="{F92DD1E1-B9A1-46FB-97E4-955B61300390}" srcOrd="2" destOrd="0" presId="urn:microsoft.com/office/officeart/2005/8/layout/orgChart1"/>
    <dgm:cxn modelId="{FBA72B83-A680-4513-95A6-F4B67DEE1D3C}" type="presParOf" srcId="{FF8BCAD5-BE9A-4430-BBC0-D43BA79507C0}" destId="{A9655281-1A11-48A7-A397-28B2365A7821}" srcOrd="3" destOrd="0" presId="urn:microsoft.com/office/officeart/2005/8/layout/orgChart1"/>
    <dgm:cxn modelId="{2F65CE72-D06E-4B7B-8904-6C8764FE8B07}" type="presParOf" srcId="{A9655281-1A11-48A7-A397-28B2365A7821}" destId="{16DF5A1D-F328-4D8F-9A64-679F012C89FD}" srcOrd="0" destOrd="0" presId="urn:microsoft.com/office/officeart/2005/8/layout/orgChart1"/>
    <dgm:cxn modelId="{713A474A-361B-4AB6-9D9E-2361DAABCA50}" type="presParOf" srcId="{16DF5A1D-F328-4D8F-9A64-679F012C89FD}" destId="{1BE2E877-A98C-4F5E-B162-7E381A985946}" srcOrd="0" destOrd="0" presId="urn:microsoft.com/office/officeart/2005/8/layout/orgChart1"/>
    <dgm:cxn modelId="{745B3E7B-07BB-4121-ADBD-6D384BE0C339}" type="presParOf" srcId="{16DF5A1D-F328-4D8F-9A64-679F012C89FD}" destId="{B971E225-D9F5-478B-8A95-DB5AA24C6662}" srcOrd="1" destOrd="0" presId="urn:microsoft.com/office/officeart/2005/8/layout/orgChart1"/>
    <dgm:cxn modelId="{0850BD02-C203-4259-915C-CA5F71405671}" type="presParOf" srcId="{A9655281-1A11-48A7-A397-28B2365A7821}" destId="{68EA9830-A38B-4137-AD59-A7E86F6FAAA7}" srcOrd="1" destOrd="0" presId="urn:microsoft.com/office/officeart/2005/8/layout/orgChart1"/>
    <dgm:cxn modelId="{F9DC34BF-DE0D-4B7C-940D-46A411B2DF52}" type="presParOf" srcId="{68EA9830-A38B-4137-AD59-A7E86F6FAAA7}" destId="{FE6A734C-CD98-41BA-B25A-1C4D4AE8317A}" srcOrd="0" destOrd="0" presId="urn:microsoft.com/office/officeart/2005/8/layout/orgChart1"/>
    <dgm:cxn modelId="{AC71C5B0-7D0C-416E-A8F8-A3AFD5FC6BEB}" type="presParOf" srcId="{68EA9830-A38B-4137-AD59-A7E86F6FAAA7}" destId="{0CFBA51D-31D1-471A-9BC7-2CEB9D7C399F}" srcOrd="1" destOrd="0" presId="urn:microsoft.com/office/officeart/2005/8/layout/orgChart1"/>
    <dgm:cxn modelId="{7E515F47-F7A3-4012-8A41-D9E5261FD60B}" type="presParOf" srcId="{0CFBA51D-31D1-471A-9BC7-2CEB9D7C399F}" destId="{0D15A8F0-925F-4930-A883-35E4E6551285}" srcOrd="0" destOrd="0" presId="urn:microsoft.com/office/officeart/2005/8/layout/orgChart1"/>
    <dgm:cxn modelId="{1B17F253-2AA5-4377-A3EF-B715CA11ADAA}" type="presParOf" srcId="{0D15A8F0-925F-4930-A883-35E4E6551285}" destId="{6A43EABD-03AA-415F-BE3A-2DD31AB048C5}" srcOrd="0" destOrd="0" presId="urn:microsoft.com/office/officeart/2005/8/layout/orgChart1"/>
    <dgm:cxn modelId="{34C944EB-F9D5-433C-A768-B54AB6E26AA1}" type="presParOf" srcId="{0D15A8F0-925F-4930-A883-35E4E6551285}" destId="{DECA7EAF-1BEF-41A3-ABB3-5EAA3BAAF462}" srcOrd="1" destOrd="0" presId="urn:microsoft.com/office/officeart/2005/8/layout/orgChart1"/>
    <dgm:cxn modelId="{CB95013C-7A6B-45E2-80BC-130D85389758}" type="presParOf" srcId="{0CFBA51D-31D1-471A-9BC7-2CEB9D7C399F}" destId="{D85C8B7E-C5E4-4E2B-A51E-8DED9E096F4F}" srcOrd="1" destOrd="0" presId="urn:microsoft.com/office/officeart/2005/8/layout/orgChart1"/>
    <dgm:cxn modelId="{555B232F-53C9-44E8-A4C2-540C6B6B6F11}" type="presParOf" srcId="{0CFBA51D-31D1-471A-9BC7-2CEB9D7C399F}" destId="{9A795A8B-98A0-4E3A-8C63-BBCD9EC7B428}" srcOrd="2" destOrd="0" presId="urn:microsoft.com/office/officeart/2005/8/layout/orgChart1"/>
    <dgm:cxn modelId="{8E212B79-0BE6-4467-BAE9-75E9BA38542A}" type="presParOf" srcId="{68EA9830-A38B-4137-AD59-A7E86F6FAAA7}" destId="{D978C072-8E92-43C4-91B3-F3E661B7ABAC}" srcOrd="2" destOrd="0" presId="urn:microsoft.com/office/officeart/2005/8/layout/orgChart1"/>
    <dgm:cxn modelId="{372793FD-A1F4-4B1A-A8F0-1A38A04410C1}" type="presParOf" srcId="{68EA9830-A38B-4137-AD59-A7E86F6FAAA7}" destId="{4BE219A9-D29C-4EF0-AD63-17317A4642BE}" srcOrd="3" destOrd="0" presId="urn:microsoft.com/office/officeart/2005/8/layout/orgChart1"/>
    <dgm:cxn modelId="{DF380159-ED4E-465C-89CD-91CC7CB98A2E}" type="presParOf" srcId="{4BE219A9-D29C-4EF0-AD63-17317A4642BE}" destId="{33E3FF0E-3075-4C97-9AB8-B35A81D99026}" srcOrd="0" destOrd="0" presId="urn:microsoft.com/office/officeart/2005/8/layout/orgChart1"/>
    <dgm:cxn modelId="{B3A9C1D1-99B2-4482-8099-C46A2B016D51}" type="presParOf" srcId="{33E3FF0E-3075-4C97-9AB8-B35A81D99026}" destId="{19B89C79-DE41-4F48-9743-7325556D13A7}" srcOrd="0" destOrd="0" presId="urn:microsoft.com/office/officeart/2005/8/layout/orgChart1"/>
    <dgm:cxn modelId="{9F64ABE2-DFDD-4016-A7CA-A3302655FFDD}" type="presParOf" srcId="{33E3FF0E-3075-4C97-9AB8-B35A81D99026}" destId="{135572E7-D0A9-47F1-B57C-3842E7D4BA7A}" srcOrd="1" destOrd="0" presId="urn:microsoft.com/office/officeart/2005/8/layout/orgChart1"/>
    <dgm:cxn modelId="{AEBC8336-E330-47C4-875A-215ED8CD12F4}" type="presParOf" srcId="{4BE219A9-D29C-4EF0-AD63-17317A4642BE}" destId="{E0086AA6-9892-483C-8BF3-8DFA11CB0C89}" srcOrd="1" destOrd="0" presId="urn:microsoft.com/office/officeart/2005/8/layout/orgChart1"/>
    <dgm:cxn modelId="{D389A083-490A-4626-829D-7A2001258CEC}" type="presParOf" srcId="{4BE219A9-D29C-4EF0-AD63-17317A4642BE}" destId="{294FCD5E-48DF-44D1-87AD-8120DD61C071}" srcOrd="2" destOrd="0" presId="urn:microsoft.com/office/officeart/2005/8/layout/orgChart1"/>
    <dgm:cxn modelId="{1508251A-ABD4-43FA-94FC-5302D4287E25}" type="presParOf" srcId="{68EA9830-A38B-4137-AD59-A7E86F6FAAA7}" destId="{8E487ED1-854B-4A52-9737-AAF07A5B6561}" srcOrd="4" destOrd="0" presId="urn:microsoft.com/office/officeart/2005/8/layout/orgChart1"/>
    <dgm:cxn modelId="{736A15C6-F1F7-4469-9765-5A2B55880089}" type="presParOf" srcId="{68EA9830-A38B-4137-AD59-A7E86F6FAAA7}" destId="{0EDA9EF3-F649-4B52-AB88-688C9B52ADAD}" srcOrd="5" destOrd="0" presId="urn:microsoft.com/office/officeart/2005/8/layout/orgChart1"/>
    <dgm:cxn modelId="{43BA8F2D-527E-4D77-B09E-6E7161A9B3E1}" type="presParOf" srcId="{0EDA9EF3-F649-4B52-AB88-688C9B52ADAD}" destId="{B6A5BF6A-F825-4E87-9BF1-F12F0E1A2824}" srcOrd="0" destOrd="0" presId="urn:microsoft.com/office/officeart/2005/8/layout/orgChart1"/>
    <dgm:cxn modelId="{D0AFA740-BE14-40D5-BCCA-E932C5E620F7}" type="presParOf" srcId="{B6A5BF6A-F825-4E87-9BF1-F12F0E1A2824}" destId="{0E67771F-D6B3-42E0-A4EC-8EA8EA99163C}" srcOrd="0" destOrd="0" presId="urn:microsoft.com/office/officeart/2005/8/layout/orgChart1"/>
    <dgm:cxn modelId="{8CEA539D-01EC-4F2A-808A-E878CF28EF47}" type="presParOf" srcId="{B6A5BF6A-F825-4E87-9BF1-F12F0E1A2824}" destId="{56227AB4-9AF1-4700-B97A-335834EB032E}" srcOrd="1" destOrd="0" presId="urn:microsoft.com/office/officeart/2005/8/layout/orgChart1"/>
    <dgm:cxn modelId="{35109001-8C7E-4E68-8A8C-198C5E5A603A}" type="presParOf" srcId="{0EDA9EF3-F649-4B52-AB88-688C9B52ADAD}" destId="{5913F22F-50C4-401C-9266-A98924DA7048}" srcOrd="1" destOrd="0" presId="urn:microsoft.com/office/officeart/2005/8/layout/orgChart1"/>
    <dgm:cxn modelId="{54BD7E1E-F693-4E51-9635-B2762AC0720A}" type="presParOf" srcId="{0EDA9EF3-F649-4B52-AB88-688C9B52ADAD}" destId="{2A7854A4-11CB-4163-A81B-CB4274046604}" srcOrd="2" destOrd="0" presId="urn:microsoft.com/office/officeart/2005/8/layout/orgChart1"/>
    <dgm:cxn modelId="{E98189B9-7889-4625-B6AB-19E7C85EE7F5}" type="presParOf" srcId="{68EA9830-A38B-4137-AD59-A7E86F6FAAA7}" destId="{85F37B29-5104-422E-85BD-743A5D3FCBEE}" srcOrd="6" destOrd="0" presId="urn:microsoft.com/office/officeart/2005/8/layout/orgChart1"/>
    <dgm:cxn modelId="{C04139EB-9BCF-4B11-9A07-FF56BD66221B}" type="presParOf" srcId="{68EA9830-A38B-4137-AD59-A7E86F6FAAA7}" destId="{F248421B-7462-47B5-B02A-D25BE114F1BD}" srcOrd="7" destOrd="0" presId="urn:microsoft.com/office/officeart/2005/8/layout/orgChart1"/>
    <dgm:cxn modelId="{AB7843E9-3AA6-4394-B59B-DE154FEC2D03}" type="presParOf" srcId="{F248421B-7462-47B5-B02A-D25BE114F1BD}" destId="{B1313B78-2633-4FB4-83B1-0F0AA8AD37AE}" srcOrd="0" destOrd="0" presId="urn:microsoft.com/office/officeart/2005/8/layout/orgChart1"/>
    <dgm:cxn modelId="{23627499-41AC-4E0A-89CE-F6D107FBF2A4}" type="presParOf" srcId="{B1313B78-2633-4FB4-83B1-0F0AA8AD37AE}" destId="{401C7678-EDD1-48C6-9768-EBF5BECCC531}" srcOrd="0" destOrd="0" presId="urn:microsoft.com/office/officeart/2005/8/layout/orgChart1"/>
    <dgm:cxn modelId="{E62212DF-7890-4050-924B-1FCB3E7A6B1B}" type="presParOf" srcId="{B1313B78-2633-4FB4-83B1-0F0AA8AD37AE}" destId="{10DB2604-F4DC-4B99-B113-256861ED3A2B}" srcOrd="1" destOrd="0" presId="urn:microsoft.com/office/officeart/2005/8/layout/orgChart1"/>
    <dgm:cxn modelId="{44FAEC3E-D81F-4477-9839-B87F28425CFE}" type="presParOf" srcId="{F248421B-7462-47B5-B02A-D25BE114F1BD}" destId="{3EBE27FC-7BD3-48FE-AD19-ABD7F813E117}" srcOrd="1" destOrd="0" presId="urn:microsoft.com/office/officeart/2005/8/layout/orgChart1"/>
    <dgm:cxn modelId="{FAA9B1A1-1213-446B-82B3-E9FEDC133E7E}" type="presParOf" srcId="{F248421B-7462-47B5-B02A-D25BE114F1BD}" destId="{EF2A79F4-FC4E-4FC6-9FA8-437F5E6C9593}" srcOrd="2" destOrd="0" presId="urn:microsoft.com/office/officeart/2005/8/layout/orgChart1"/>
    <dgm:cxn modelId="{5ED40ADD-1041-44B7-857C-CAD409F86050}" type="presParOf" srcId="{A9655281-1A11-48A7-A397-28B2365A7821}" destId="{B9E18785-60C1-46A6-89DB-EFB0849FC9C4}" srcOrd="2" destOrd="0" presId="urn:microsoft.com/office/officeart/2005/8/layout/orgChart1"/>
    <dgm:cxn modelId="{3459A91B-B9B0-49F2-BCC4-5370BFF2B51B}" type="presParOf" srcId="{FF8BCAD5-BE9A-4430-BBC0-D43BA79507C0}" destId="{0D136685-5600-4E30-BED0-84E704D24193}" srcOrd="4" destOrd="0" presId="urn:microsoft.com/office/officeart/2005/8/layout/orgChart1"/>
    <dgm:cxn modelId="{2FDEB383-773C-4059-9B96-4B60203901C3}" type="presParOf" srcId="{FF8BCAD5-BE9A-4430-BBC0-D43BA79507C0}" destId="{646878FC-A1C4-4169-97C2-0F25682FDB8A}" srcOrd="5" destOrd="0" presId="urn:microsoft.com/office/officeart/2005/8/layout/orgChart1"/>
    <dgm:cxn modelId="{C0B7C717-CE46-4CFC-9B41-14A22D1686A9}" type="presParOf" srcId="{646878FC-A1C4-4169-97C2-0F25682FDB8A}" destId="{B1B56372-9E70-4A18-ABC7-31AC6F3A3149}" srcOrd="0" destOrd="0" presId="urn:microsoft.com/office/officeart/2005/8/layout/orgChart1"/>
    <dgm:cxn modelId="{AE497F41-D0CB-4F3B-ACAD-DD34D8265E15}" type="presParOf" srcId="{B1B56372-9E70-4A18-ABC7-31AC6F3A3149}" destId="{F929D97E-86BE-4488-B496-35906E1F9CAE}" srcOrd="0" destOrd="0" presId="urn:microsoft.com/office/officeart/2005/8/layout/orgChart1"/>
    <dgm:cxn modelId="{E7A6F55D-9EC5-45C4-A7F1-9F0F589307BD}" type="presParOf" srcId="{B1B56372-9E70-4A18-ABC7-31AC6F3A3149}" destId="{B955BC7D-DAC9-4057-99DB-72B0147F93F2}" srcOrd="1" destOrd="0" presId="urn:microsoft.com/office/officeart/2005/8/layout/orgChart1"/>
    <dgm:cxn modelId="{EB1D9C25-3DBA-43AC-8048-CE290BC522B3}" type="presParOf" srcId="{646878FC-A1C4-4169-97C2-0F25682FDB8A}" destId="{44A9F1B2-39FB-45A3-AB69-4CDFB5D6C1C0}" srcOrd="1" destOrd="0" presId="urn:microsoft.com/office/officeart/2005/8/layout/orgChart1"/>
    <dgm:cxn modelId="{72DF257B-9FF8-455A-BDD5-F06E2908A2BA}" type="presParOf" srcId="{44A9F1B2-39FB-45A3-AB69-4CDFB5D6C1C0}" destId="{3BF4E0A2-533F-46EF-B1EF-8466DEC47284}" srcOrd="0" destOrd="0" presId="urn:microsoft.com/office/officeart/2005/8/layout/orgChart1"/>
    <dgm:cxn modelId="{93D0FEDF-B18D-4F40-AAD4-474C1B8B6989}" type="presParOf" srcId="{44A9F1B2-39FB-45A3-AB69-4CDFB5D6C1C0}" destId="{DC2ABF01-CA2C-4A00-AEB8-54EB3DDBCB56}" srcOrd="1" destOrd="0" presId="urn:microsoft.com/office/officeart/2005/8/layout/orgChart1"/>
    <dgm:cxn modelId="{61D335F6-FCF4-4865-9F3F-BD01D3B4D7A6}" type="presParOf" srcId="{DC2ABF01-CA2C-4A00-AEB8-54EB3DDBCB56}" destId="{4DB6B53A-C791-4485-8973-ADD55BCD34BF}" srcOrd="0" destOrd="0" presId="urn:microsoft.com/office/officeart/2005/8/layout/orgChart1"/>
    <dgm:cxn modelId="{D4F48B45-1AAB-4DF7-B48E-AE4FC145FC7E}" type="presParOf" srcId="{4DB6B53A-C791-4485-8973-ADD55BCD34BF}" destId="{A53EE3FD-0868-455B-8BBA-76212B84AD2F}" srcOrd="0" destOrd="0" presId="urn:microsoft.com/office/officeart/2005/8/layout/orgChart1"/>
    <dgm:cxn modelId="{2BD3C4D7-E3ED-4AD5-8162-028E9C6EDA2E}" type="presParOf" srcId="{4DB6B53A-C791-4485-8973-ADD55BCD34BF}" destId="{C24ACD5D-4A90-452B-B807-DD2ACB3F82D7}" srcOrd="1" destOrd="0" presId="urn:microsoft.com/office/officeart/2005/8/layout/orgChart1"/>
    <dgm:cxn modelId="{AF763919-13A6-4646-828F-5EB9C32BA60D}" type="presParOf" srcId="{DC2ABF01-CA2C-4A00-AEB8-54EB3DDBCB56}" destId="{E04CFBD4-1794-4811-9482-8593FC119F23}" srcOrd="1" destOrd="0" presId="urn:microsoft.com/office/officeart/2005/8/layout/orgChart1"/>
    <dgm:cxn modelId="{47B19158-8914-4F0E-A6AB-EDFEBAA2B7B6}" type="presParOf" srcId="{DC2ABF01-CA2C-4A00-AEB8-54EB3DDBCB56}" destId="{78B4F3FE-F575-4231-B68B-11F8300430B1}" srcOrd="2" destOrd="0" presId="urn:microsoft.com/office/officeart/2005/8/layout/orgChart1"/>
    <dgm:cxn modelId="{832E88B0-1D77-4A1D-976F-21B1A4B3BA0B}" type="presParOf" srcId="{44A9F1B2-39FB-45A3-AB69-4CDFB5D6C1C0}" destId="{FD2BD50E-D384-49FE-BB00-71E6AEEEE500}" srcOrd="2" destOrd="0" presId="urn:microsoft.com/office/officeart/2005/8/layout/orgChart1"/>
    <dgm:cxn modelId="{78E5873C-20FD-4DD2-93E2-5F453300C177}" type="presParOf" srcId="{44A9F1B2-39FB-45A3-AB69-4CDFB5D6C1C0}" destId="{C2D4CFC6-EDEA-4994-85C4-82C320A7C677}" srcOrd="3" destOrd="0" presId="urn:microsoft.com/office/officeart/2005/8/layout/orgChart1"/>
    <dgm:cxn modelId="{49971C4A-0D1C-49E8-BABE-AD380306B6EB}" type="presParOf" srcId="{C2D4CFC6-EDEA-4994-85C4-82C320A7C677}" destId="{D088533D-A6D4-42DD-8549-CE6D6612641C}" srcOrd="0" destOrd="0" presId="urn:microsoft.com/office/officeart/2005/8/layout/orgChart1"/>
    <dgm:cxn modelId="{5FA2A9B7-E6A5-46E2-9498-9C3F0DFEBDBB}" type="presParOf" srcId="{D088533D-A6D4-42DD-8549-CE6D6612641C}" destId="{1BB92FE5-CE5A-41FE-B673-C4A4F62BF5AB}" srcOrd="0" destOrd="0" presId="urn:microsoft.com/office/officeart/2005/8/layout/orgChart1"/>
    <dgm:cxn modelId="{EB56ACA5-4D8A-4BF2-9900-1A2AB84FC99D}" type="presParOf" srcId="{D088533D-A6D4-42DD-8549-CE6D6612641C}" destId="{C55C49B2-409B-4525-9D61-0D463E355467}" srcOrd="1" destOrd="0" presId="urn:microsoft.com/office/officeart/2005/8/layout/orgChart1"/>
    <dgm:cxn modelId="{BB38F006-6075-4484-A248-CB48BC5B46F0}" type="presParOf" srcId="{C2D4CFC6-EDEA-4994-85C4-82C320A7C677}" destId="{01E9F9E7-41C4-4196-B067-4AA632BDE21D}" srcOrd="1" destOrd="0" presId="urn:microsoft.com/office/officeart/2005/8/layout/orgChart1"/>
    <dgm:cxn modelId="{1C7A8566-2754-4D72-816C-9EAF263759A7}" type="presParOf" srcId="{C2D4CFC6-EDEA-4994-85C4-82C320A7C677}" destId="{16BFCAC6-DC2E-45FA-B317-635DF3BD8F62}" srcOrd="2" destOrd="0" presId="urn:microsoft.com/office/officeart/2005/8/layout/orgChart1"/>
    <dgm:cxn modelId="{C3409F0C-EE2F-4F56-B183-A12D2DF4B7F2}" type="presParOf" srcId="{44A9F1B2-39FB-45A3-AB69-4CDFB5D6C1C0}" destId="{FEA01142-F62E-4F09-955A-6EF0C7069331}" srcOrd="4" destOrd="0" presId="urn:microsoft.com/office/officeart/2005/8/layout/orgChart1"/>
    <dgm:cxn modelId="{F9D802EB-65A0-4246-B3E0-406DE206FF8A}" type="presParOf" srcId="{44A9F1B2-39FB-45A3-AB69-4CDFB5D6C1C0}" destId="{F53AEB9B-37A0-47A7-9844-7F512AC66904}" srcOrd="5" destOrd="0" presId="urn:microsoft.com/office/officeart/2005/8/layout/orgChart1"/>
    <dgm:cxn modelId="{B01A1423-3DC9-4E8A-BADB-2CD5FF7624CD}" type="presParOf" srcId="{F53AEB9B-37A0-47A7-9844-7F512AC66904}" destId="{5BDCB8CB-9218-4565-AD2A-723662D72680}" srcOrd="0" destOrd="0" presId="urn:microsoft.com/office/officeart/2005/8/layout/orgChart1"/>
    <dgm:cxn modelId="{C8414560-C216-4F17-9985-F4E1A4E11DBF}" type="presParOf" srcId="{5BDCB8CB-9218-4565-AD2A-723662D72680}" destId="{B509DCB6-92BF-408D-9332-348533AC8AE4}" srcOrd="0" destOrd="0" presId="urn:microsoft.com/office/officeart/2005/8/layout/orgChart1"/>
    <dgm:cxn modelId="{D615A7D4-7125-4F0A-95E3-22470D4513CC}" type="presParOf" srcId="{5BDCB8CB-9218-4565-AD2A-723662D72680}" destId="{260E8905-E423-4F36-BAD2-9471CD368CFA}" srcOrd="1" destOrd="0" presId="urn:microsoft.com/office/officeart/2005/8/layout/orgChart1"/>
    <dgm:cxn modelId="{7F0D106E-A235-4592-9F2E-F83EB0FFA88A}" type="presParOf" srcId="{F53AEB9B-37A0-47A7-9844-7F512AC66904}" destId="{5477AFEF-68F3-4E40-A383-B71021CC1C12}" srcOrd="1" destOrd="0" presId="urn:microsoft.com/office/officeart/2005/8/layout/orgChart1"/>
    <dgm:cxn modelId="{0D59618E-DEFD-4A0F-9269-6175BE3C5335}" type="presParOf" srcId="{F53AEB9B-37A0-47A7-9844-7F512AC66904}" destId="{C9993A71-F16C-4C0F-90DE-5F6B5DE2D2C9}" srcOrd="2" destOrd="0" presId="urn:microsoft.com/office/officeart/2005/8/layout/orgChart1"/>
    <dgm:cxn modelId="{26970F83-4D57-40D0-AD89-AC4BEBC436DC}" type="presParOf" srcId="{44A9F1B2-39FB-45A3-AB69-4CDFB5D6C1C0}" destId="{E100F4B1-0BDD-4045-BB9D-156682492EAA}" srcOrd="6" destOrd="0" presId="urn:microsoft.com/office/officeart/2005/8/layout/orgChart1"/>
    <dgm:cxn modelId="{46DFAC91-402F-4703-A1BF-1D4B98083119}" type="presParOf" srcId="{44A9F1B2-39FB-45A3-AB69-4CDFB5D6C1C0}" destId="{8B2EDCD7-CACA-43DE-8C39-A7661621A1AD}" srcOrd="7" destOrd="0" presId="urn:microsoft.com/office/officeart/2005/8/layout/orgChart1"/>
    <dgm:cxn modelId="{0CD2D1BE-E184-4405-B609-9CBD53D779EE}" type="presParOf" srcId="{8B2EDCD7-CACA-43DE-8C39-A7661621A1AD}" destId="{F3C77888-4DA4-493B-BBFA-9699AD41CE8F}" srcOrd="0" destOrd="0" presId="urn:microsoft.com/office/officeart/2005/8/layout/orgChart1"/>
    <dgm:cxn modelId="{778D39A7-0D48-41D7-BDB1-B44530EDBD64}" type="presParOf" srcId="{F3C77888-4DA4-493B-BBFA-9699AD41CE8F}" destId="{E15D6C05-87C2-4F46-9AA3-4B39FA24F6A2}" srcOrd="0" destOrd="0" presId="urn:microsoft.com/office/officeart/2005/8/layout/orgChart1"/>
    <dgm:cxn modelId="{DF1360CE-A76E-486B-AB38-CD8064053905}" type="presParOf" srcId="{F3C77888-4DA4-493B-BBFA-9699AD41CE8F}" destId="{BA66925A-19AD-4928-8544-E7C599854C15}" srcOrd="1" destOrd="0" presId="urn:microsoft.com/office/officeart/2005/8/layout/orgChart1"/>
    <dgm:cxn modelId="{53212414-D7E5-4DE2-92FC-5538C721948E}" type="presParOf" srcId="{8B2EDCD7-CACA-43DE-8C39-A7661621A1AD}" destId="{FA6C49CF-04F6-4969-ADE0-48700850BA75}" srcOrd="1" destOrd="0" presId="urn:microsoft.com/office/officeart/2005/8/layout/orgChart1"/>
    <dgm:cxn modelId="{7E84A95B-C649-4694-82E3-497B6C1B5019}" type="presParOf" srcId="{8B2EDCD7-CACA-43DE-8C39-A7661621A1AD}" destId="{3D7F6618-16BC-4B43-947C-4F215C7CB46C}" srcOrd="2" destOrd="0" presId="urn:microsoft.com/office/officeart/2005/8/layout/orgChart1"/>
    <dgm:cxn modelId="{6E1A96F8-EB81-449B-A9E6-56CF5D72E662}" type="presParOf" srcId="{646878FC-A1C4-4169-97C2-0F25682FDB8A}" destId="{24437570-CAF3-40CD-AC31-3F36F640E640}" srcOrd="2" destOrd="0" presId="urn:microsoft.com/office/officeart/2005/8/layout/orgChart1"/>
    <dgm:cxn modelId="{856363DA-67E9-4756-BCC8-882E9D520068}" type="presParOf" srcId="{FF8BCAD5-BE9A-4430-BBC0-D43BA79507C0}" destId="{93F63975-AD3A-48CE-8A6A-39CA9BB236AA}" srcOrd="6" destOrd="0" presId="urn:microsoft.com/office/officeart/2005/8/layout/orgChart1"/>
    <dgm:cxn modelId="{FF0D979E-F88A-48B2-A598-67950A4672F3}" type="presParOf" srcId="{FF8BCAD5-BE9A-4430-BBC0-D43BA79507C0}" destId="{49325649-D094-4BD1-A2F7-B0C137CD3783}" srcOrd="7" destOrd="0" presId="urn:microsoft.com/office/officeart/2005/8/layout/orgChart1"/>
    <dgm:cxn modelId="{1CFD233F-2A5F-47BC-8AB1-D5F2FCA00E9D}" type="presParOf" srcId="{49325649-D094-4BD1-A2F7-B0C137CD3783}" destId="{70789CCD-8B0C-49CD-B4B8-0C065B45323F}" srcOrd="0" destOrd="0" presId="urn:microsoft.com/office/officeart/2005/8/layout/orgChart1"/>
    <dgm:cxn modelId="{54EE507B-5D8E-4C4B-99F5-F9FC7D4B485D}" type="presParOf" srcId="{70789CCD-8B0C-49CD-B4B8-0C065B45323F}" destId="{0A209B85-31FA-4E41-BE45-2EB0F430555C}" srcOrd="0" destOrd="0" presId="urn:microsoft.com/office/officeart/2005/8/layout/orgChart1"/>
    <dgm:cxn modelId="{797719CD-5345-4850-B60D-89F7018D64F3}" type="presParOf" srcId="{70789CCD-8B0C-49CD-B4B8-0C065B45323F}" destId="{93AA080D-57AE-4E81-958D-F9A1D38E6CF3}" srcOrd="1" destOrd="0" presId="urn:microsoft.com/office/officeart/2005/8/layout/orgChart1"/>
    <dgm:cxn modelId="{C25FAE36-FA78-4001-A494-B34B63ADF1FB}" type="presParOf" srcId="{49325649-D094-4BD1-A2F7-B0C137CD3783}" destId="{5B8EF062-37A5-49E6-A886-57B55A36AD80}" srcOrd="1" destOrd="0" presId="urn:microsoft.com/office/officeart/2005/8/layout/orgChart1"/>
    <dgm:cxn modelId="{E296EEDA-8719-410E-99E2-E00EDE262C37}" type="presParOf" srcId="{5B8EF062-37A5-49E6-A886-57B55A36AD80}" destId="{07890C3C-0C34-43C6-B53A-43502EC7872E}" srcOrd="0" destOrd="0" presId="urn:microsoft.com/office/officeart/2005/8/layout/orgChart1"/>
    <dgm:cxn modelId="{778316E0-E70B-41A2-B54A-E935B6F023FA}" type="presParOf" srcId="{5B8EF062-37A5-49E6-A886-57B55A36AD80}" destId="{E81F8071-148A-4763-8EFF-7359EBC8DE40}" srcOrd="1" destOrd="0" presId="urn:microsoft.com/office/officeart/2005/8/layout/orgChart1"/>
    <dgm:cxn modelId="{499DA8C2-90E3-4382-8D61-170EE223E00F}" type="presParOf" srcId="{E81F8071-148A-4763-8EFF-7359EBC8DE40}" destId="{FDD95A59-FDE0-4E38-BD3F-1AEE9AAEC663}" srcOrd="0" destOrd="0" presId="urn:microsoft.com/office/officeart/2005/8/layout/orgChart1"/>
    <dgm:cxn modelId="{E136269B-F9C9-4E60-885E-98C49F9131C6}" type="presParOf" srcId="{FDD95A59-FDE0-4E38-BD3F-1AEE9AAEC663}" destId="{25CBE439-FF8E-48F7-B5EE-F025139ED159}" srcOrd="0" destOrd="0" presId="urn:microsoft.com/office/officeart/2005/8/layout/orgChart1"/>
    <dgm:cxn modelId="{46ACC402-A40A-4B95-958C-B269E99A3764}" type="presParOf" srcId="{FDD95A59-FDE0-4E38-BD3F-1AEE9AAEC663}" destId="{EA9065D7-9704-4C0A-8D0D-77EE2F0AF926}" srcOrd="1" destOrd="0" presId="urn:microsoft.com/office/officeart/2005/8/layout/orgChart1"/>
    <dgm:cxn modelId="{E1504282-B74F-4D11-9D59-DA7CA4C9EB05}" type="presParOf" srcId="{E81F8071-148A-4763-8EFF-7359EBC8DE40}" destId="{D70D0C17-EA0F-4EA2-88B8-05912BDCDDF2}" srcOrd="1" destOrd="0" presId="urn:microsoft.com/office/officeart/2005/8/layout/orgChart1"/>
    <dgm:cxn modelId="{9617718E-1DD4-4ECD-AC54-2E9ED2502150}" type="presParOf" srcId="{E81F8071-148A-4763-8EFF-7359EBC8DE40}" destId="{7580CB60-37C3-4922-B670-CB79D70669CB}" srcOrd="2" destOrd="0" presId="urn:microsoft.com/office/officeart/2005/8/layout/orgChart1"/>
    <dgm:cxn modelId="{FCDD4178-9A70-4148-8FB6-0D2DCB6E5617}" type="presParOf" srcId="{5B8EF062-37A5-49E6-A886-57B55A36AD80}" destId="{0682577A-DD48-4F68-A560-24C92A32267A}" srcOrd="2" destOrd="0" presId="urn:microsoft.com/office/officeart/2005/8/layout/orgChart1"/>
    <dgm:cxn modelId="{CF03637F-934D-44F3-8185-ED85866D0C26}" type="presParOf" srcId="{5B8EF062-37A5-49E6-A886-57B55A36AD80}" destId="{F807C59A-718A-4B6B-95A4-4DE71D9B58EF}" srcOrd="3" destOrd="0" presId="urn:microsoft.com/office/officeart/2005/8/layout/orgChart1"/>
    <dgm:cxn modelId="{6D28E6CA-A139-414A-9700-2D84EE15D4D7}" type="presParOf" srcId="{F807C59A-718A-4B6B-95A4-4DE71D9B58EF}" destId="{CCA4A9ED-1E46-487D-A4EC-7A1E9512863F}" srcOrd="0" destOrd="0" presId="urn:microsoft.com/office/officeart/2005/8/layout/orgChart1"/>
    <dgm:cxn modelId="{679433CF-5F6C-4945-AEF5-E5D0C9E312C3}" type="presParOf" srcId="{CCA4A9ED-1E46-487D-A4EC-7A1E9512863F}" destId="{340D405E-7980-48FF-92E8-4B1BA0904690}" srcOrd="0" destOrd="0" presId="urn:microsoft.com/office/officeart/2005/8/layout/orgChart1"/>
    <dgm:cxn modelId="{0A95CB78-A307-4A6A-87BF-811F9319B930}" type="presParOf" srcId="{CCA4A9ED-1E46-487D-A4EC-7A1E9512863F}" destId="{8CF0BE38-64A4-48F7-91EA-1C5DF9DE28BA}" srcOrd="1" destOrd="0" presId="urn:microsoft.com/office/officeart/2005/8/layout/orgChart1"/>
    <dgm:cxn modelId="{CA4D2D0C-6FF9-4714-8CD8-613E3B1138A0}" type="presParOf" srcId="{F807C59A-718A-4B6B-95A4-4DE71D9B58EF}" destId="{29A25B00-B975-4C02-86E5-474E22CEC8B6}" srcOrd="1" destOrd="0" presId="urn:microsoft.com/office/officeart/2005/8/layout/orgChart1"/>
    <dgm:cxn modelId="{4B01AB24-C484-4088-9081-642B8BFD4AFF}" type="presParOf" srcId="{F807C59A-718A-4B6B-95A4-4DE71D9B58EF}" destId="{61E0D8D8-696B-4694-AB78-FAF9F716517A}" srcOrd="2" destOrd="0" presId="urn:microsoft.com/office/officeart/2005/8/layout/orgChart1"/>
    <dgm:cxn modelId="{226E6DF5-6631-4776-A0E2-725A8B5081E5}" type="presParOf" srcId="{5B8EF062-37A5-49E6-A886-57B55A36AD80}" destId="{3233BCA5-2C84-43F7-943C-C8F551BB69F0}" srcOrd="4" destOrd="0" presId="urn:microsoft.com/office/officeart/2005/8/layout/orgChart1"/>
    <dgm:cxn modelId="{D534FB8C-FCFA-464D-9E01-A622D1B74607}" type="presParOf" srcId="{5B8EF062-37A5-49E6-A886-57B55A36AD80}" destId="{90A9F625-FFA3-49D3-8403-354901068ED2}" srcOrd="5" destOrd="0" presId="urn:microsoft.com/office/officeart/2005/8/layout/orgChart1"/>
    <dgm:cxn modelId="{13B1BB28-0C9A-40D7-97D5-A390EC0AC4DA}" type="presParOf" srcId="{90A9F625-FFA3-49D3-8403-354901068ED2}" destId="{520540E8-F468-43BF-B547-DEE312944748}" srcOrd="0" destOrd="0" presId="urn:microsoft.com/office/officeart/2005/8/layout/orgChart1"/>
    <dgm:cxn modelId="{341FF1B5-4BFA-420C-8BC9-9CBD4BF19875}" type="presParOf" srcId="{520540E8-F468-43BF-B547-DEE312944748}" destId="{16256827-AD03-4423-92C1-0FDBEE3D6F20}" srcOrd="0" destOrd="0" presId="urn:microsoft.com/office/officeart/2005/8/layout/orgChart1"/>
    <dgm:cxn modelId="{D7947246-1B45-432A-90B1-F2308773C9CB}" type="presParOf" srcId="{520540E8-F468-43BF-B547-DEE312944748}" destId="{FA8629FB-C9BE-4CF3-8D6D-3212F2CA21E9}" srcOrd="1" destOrd="0" presId="urn:microsoft.com/office/officeart/2005/8/layout/orgChart1"/>
    <dgm:cxn modelId="{FCFF6D4D-17B5-4722-8473-33E88FADECC7}" type="presParOf" srcId="{90A9F625-FFA3-49D3-8403-354901068ED2}" destId="{B07953BF-3FD0-4F54-AC8A-B3EDD295FE08}" srcOrd="1" destOrd="0" presId="urn:microsoft.com/office/officeart/2005/8/layout/orgChart1"/>
    <dgm:cxn modelId="{8016177D-345B-4344-93AC-4A6F6016B124}" type="presParOf" srcId="{90A9F625-FFA3-49D3-8403-354901068ED2}" destId="{CCB61684-D88B-4164-89AF-8A1B40B260EC}" srcOrd="2" destOrd="0" presId="urn:microsoft.com/office/officeart/2005/8/layout/orgChart1"/>
    <dgm:cxn modelId="{9BA34192-2798-447D-A446-F9522500BF13}" type="presParOf" srcId="{5B8EF062-37A5-49E6-A886-57B55A36AD80}" destId="{CD77612E-A601-4FF9-812B-09B5C2A66F77}" srcOrd="6" destOrd="0" presId="urn:microsoft.com/office/officeart/2005/8/layout/orgChart1"/>
    <dgm:cxn modelId="{B430C60E-03E1-439A-A2BA-F492D3693A5B}" type="presParOf" srcId="{5B8EF062-37A5-49E6-A886-57B55A36AD80}" destId="{23EEB4B9-012B-4D46-8FFA-704D98B059C2}" srcOrd="7" destOrd="0" presId="urn:microsoft.com/office/officeart/2005/8/layout/orgChart1"/>
    <dgm:cxn modelId="{7B675DA8-1CC9-406C-A6E6-1F65F7CAD772}" type="presParOf" srcId="{23EEB4B9-012B-4D46-8FFA-704D98B059C2}" destId="{930628B0-2955-484B-825E-E30629175298}" srcOrd="0" destOrd="0" presId="urn:microsoft.com/office/officeart/2005/8/layout/orgChart1"/>
    <dgm:cxn modelId="{EBE1A5B3-8B19-4658-BE1F-083DB58A856F}" type="presParOf" srcId="{930628B0-2955-484B-825E-E30629175298}" destId="{20D7B8A2-4EB4-46B9-936F-BD8D162C4F1E}" srcOrd="0" destOrd="0" presId="urn:microsoft.com/office/officeart/2005/8/layout/orgChart1"/>
    <dgm:cxn modelId="{C61AC8FE-35CB-4014-920C-75445A43BBAA}" type="presParOf" srcId="{930628B0-2955-484B-825E-E30629175298}" destId="{97DFAFAE-918C-4852-8666-90332B9716E2}" srcOrd="1" destOrd="0" presId="urn:microsoft.com/office/officeart/2005/8/layout/orgChart1"/>
    <dgm:cxn modelId="{DDB3B2BC-C0EB-413C-BC79-57D28E06EC24}" type="presParOf" srcId="{23EEB4B9-012B-4D46-8FFA-704D98B059C2}" destId="{6927C09C-DE7E-460D-9C01-0C40F8F8EA1B}" srcOrd="1" destOrd="0" presId="urn:microsoft.com/office/officeart/2005/8/layout/orgChart1"/>
    <dgm:cxn modelId="{AFC72B44-C18C-49A6-9AC3-3BF1EBADCD0E}" type="presParOf" srcId="{23EEB4B9-012B-4D46-8FFA-704D98B059C2}" destId="{2B9ABC96-ADA5-4039-8F62-D8A027CE471E}" srcOrd="2" destOrd="0" presId="urn:microsoft.com/office/officeart/2005/8/layout/orgChart1"/>
    <dgm:cxn modelId="{C0A56EE2-4F58-4E48-8445-76A351F8932F}" type="presParOf" srcId="{49325649-D094-4BD1-A2F7-B0C137CD3783}" destId="{91D2895F-3E53-4BC7-9AB0-1076D1CBD59C}" srcOrd="2" destOrd="0" presId="urn:microsoft.com/office/officeart/2005/8/layout/orgChart1"/>
    <dgm:cxn modelId="{50A5D783-B848-4BD9-8D5B-DD59ACA546D7}" type="presParOf" srcId="{03C0F827-EF46-4C6A-8A7B-173F39D63C47}" destId="{3ABEBA5C-E863-4AB9-8F74-BB798A86922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CA0C4A7D-87B4-42FC-B473-86E796E6DB38}" type="doc">
      <dgm:prSet loTypeId="urn:microsoft.com/office/officeart/2005/8/layout/orgChart1" loCatId="hierarchy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CA"/>
        </a:p>
      </dgm:t>
    </dgm:pt>
    <dgm:pt modelId="{3D4AA21C-8618-4D88-ADD2-82497DC1C3C8}">
      <dgm:prSet phldrT="[Text]" custT="1"/>
      <dgm:spPr>
        <a:solidFill>
          <a:schemeClr val="accent6">
            <a:lumMod val="50000"/>
          </a:schemeClr>
        </a:solidFill>
      </dgm:spPr>
      <dgm:t>
        <a:bodyPr/>
        <a:lstStyle/>
        <a:p>
          <a:r>
            <a:rPr lang="en-CA" sz="1000" b="1">
              <a:solidFill>
                <a:schemeClr val="bg1"/>
              </a:solidFill>
              <a:latin typeface="+mn-lt"/>
              <a:ea typeface="+mn-ea"/>
            </a:rPr>
            <a:t>Phase 3 - Development</a:t>
          </a:r>
        </a:p>
      </dgm:t>
    </dgm:pt>
    <dgm:pt modelId="{55DD5BB0-27D4-4C12-9A68-2D22B56B3DB9}" type="par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BA36D946-1E1C-4B8A-8920-C56DB42187D5}" type="sib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A5AE3037-5CDE-48B1-980D-BF755907F721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3.1. Account Management</a:t>
          </a:r>
        </a:p>
      </dgm:t>
    </dgm:pt>
    <dgm:pt modelId="{E2EA3DBF-0B05-4BE9-80CF-CD8065633172}" type="parTrans" cxnId="{E12D52B8-7AF8-41E4-8169-4569F54348E5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4B6C03A1-DC02-49AD-83B0-4E4E3C4E4627}" type="sibTrans" cxnId="{E12D52B8-7AF8-41E4-8169-4569F54348E5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1007B6F3-05BC-4F7A-8E1A-37C08373F646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3.2. Pet Browsing</a:t>
          </a:r>
        </a:p>
      </dgm:t>
    </dgm:pt>
    <dgm:pt modelId="{DC323120-D202-4A8E-953D-322761F16AE2}" type="parTrans" cxnId="{E36013EA-09C0-49C1-8A23-0972C103C6B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228E9085-F602-4C47-9F8C-5187B1EC5A82}" type="sibTrans" cxnId="{E36013EA-09C0-49C1-8A23-0972C103C6B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B850433-3650-48AA-859B-F06BE9D5D2A1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B0DE2BE-30B8-41A2-9742-9F7D501ABEE0}" type="parTrans" cxnId="{5E97D352-E701-45B2-AC47-7FC0773CA41F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10704553-64AA-4B37-B0EC-C2F455ECB4C5}" type="sibTrans" cxnId="{5E97D352-E701-45B2-AC47-7FC0773CA41F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F69D1FAD-E8C8-4443-9C53-33D08E3DE8CE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3.3. Pet Management</a:t>
          </a:r>
        </a:p>
      </dgm:t>
    </dgm:pt>
    <dgm:pt modelId="{474A8C66-2F0D-4397-874A-DDCABFDC54EB}" type="parTrans" cxnId="{F56F7FBB-D02E-4B82-A727-8F1A3DE0EADA}">
      <dgm:prSet/>
      <dgm:spPr/>
      <dgm:t>
        <a:bodyPr/>
        <a:lstStyle/>
        <a:p>
          <a:endParaRPr lang="en-CA"/>
        </a:p>
      </dgm:t>
    </dgm:pt>
    <dgm:pt modelId="{F2361F06-5F23-4E4E-93B2-3A55630A94F3}" type="sibTrans" cxnId="{F56F7FBB-D02E-4B82-A727-8F1A3DE0EADA}">
      <dgm:prSet/>
      <dgm:spPr/>
      <dgm:t>
        <a:bodyPr/>
        <a:lstStyle/>
        <a:p>
          <a:endParaRPr lang="en-CA"/>
        </a:p>
      </dgm:t>
    </dgm:pt>
    <dgm:pt modelId="{882B9642-DB5D-4415-8141-174046543928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1768B429-B295-4E12-A4E5-2959760A26BB}" type="parTrans" cxnId="{26035A75-A7B8-481A-9B7C-A1DD774E82AB}">
      <dgm:prSet/>
      <dgm:spPr/>
      <dgm:t>
        <a:bodyPr/>
        <a:lstStyle/>
        <a:p>
          <a:endParaRPr lang="en-CA"/>
        </a:p>
      </dgm:t>
    </dgm:pt>
    <dgm:pt modelId="{CEF1BA8D-8962-4916-A848-7A69DE1F430D}" type="sibTrans" cxnId="{26035A75-A7B8-481A-9B7C-A1DD774E82AB}">
      <dgm:prSet/>
      <dgm:spPr/>
      <dgm:t>
        <a:bodyPr/>
        <a:lstStyle/>
        <a:p>
          <a:endParaRPr lang="en-CA"/>
        </a:p>
      </dgm:t>
    </dgm:pt>
    <dgm:pt modelId="{8B0EAEC7-B4D5-4CF1-85E4-FC7CBAB245A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FA1804DE-9856-4A08-B6E3-E8E7C1EC73C0}" type="parTrans" cxnId="{6ED3C603-97B0-4752-B216-DC9E87E399A5}">
      <dgm:prSet/>
      <dgm:spPr/>
      <dgm:t>
        <a:bodyPr/>
        <a:lstStyle/>
        <a:p>
          <a:endParaRPr lang="en-CA"/>
        </a:p>
      </dgm:t>
    </dgm:pt>
    <dgm:pt modelId="{00DA78FB-7979-4ADC-A1E7-89CD20DF37F4}" type="sibTrans" cxnId="{6ED3C603-97B0-4752-B216-DC9E87E399A5}">
      <dgm:prSet/>
      <dgm:spPr/>
      <dgm:t>
        <a:bodyPr/>
        <a:lstStyle/>
        <a:p>
          <a:endParaRPr lang="en-CA"/>
        </a:p>
      </dgm:t>
    </dgm:pt>
    <dgm:pt modelId="{0202D3B0-F039-4A45-9B54-52DE61CC6EBF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Accessing Pet Details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DA5B83C-D6D6-4F7C-810E-D00E25F2DA99}" type="parTrans" cxnId="{9462EE48-C752-4738-8121-7C5F5D8E3EA9}">
      <dgm:prSet/>
      <dgm:spPr/>
      <dgm:t>
        <a:bodyPr/>
        <a:lstStyle/>
        <a:p>
          <a:endParaRPr lang="en-CA"/>
        </a:p>
      </dgm:t>
    </dgm:pt>
    <dgm:pt modelId="{B9F88689-25EB-4604-9BE4-089FAC838E94}" type="sibTrans" cxnId="{9462EE48-C752-4738-8121-7C5F5D8E3EA9}">
      <dgm:prSet/>
      <dgm:spPr/>
      <dgm:t>
        <a:bodyPr/>
        <a:lstStyle/>
        <a:p>
          <a:endParaRPr lang="en-CA"/>
        </a:p>
      </dgm:t>
    </dgm:pt>
    <dgm:pt modelId="{367DA472-A6B5-4A65-AA92-ABD67FD1CC0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190B60C-4242-4AB8-BE76-B364159818C9}" type="parTrans" cxnId="{CFCB7A42-AF82-45F9-9001-D0C2BA0C1D68}">
      <dgm:prSet/>
      <dgm:spPr/>
      <dgm:t>
        <a:bodyPr/>
        <a:lstStyle/>
        <a:p>
          <a:endParaRPr lang="en-CA"/>
        </a:p>
      </dgm:t>
    </dgm:pt>
    <dgm:pt modelId="{15DB7952-266A-46BB-A9FF-6186DD342E36}" type="sibTrans" cxnId="{CFCB7A42-AF82-45F9-9001-D0C2BA0C1D68}">
      <dgm:prSet/>
      <dgm:spPr/>
      <dgm:t>
        <a:bodyPr/>
        <a:lstStyle/>
        <a:p>
          <a:endParaRPr lang="en-CA"/>
        </a:p>
      </dgm:t>
    </dgm:pt>
    <dgm:pt modelId="{BAD477F3-63B5-42EE-B3B5-05689244E517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A3C9C18B-9E10-4A65-87A8-C6D2F29C4622}" type="parTrans" cxnId="{9B2D7A24-DB78-4C8D-88B7-D2C0CE2B8877}">
      <dgm:prSet/>
      <dgm:spPr/>
      <dgm:t>
        <a:bodyPr/>
        <a:lstStyle/>
        <a:p>
          <a:endParaRPr lang="en-CA"/>
        </a:p>
      </dgm:t>
    </dgm:pt>
    <dgm:pt modelId="{81F2F3B1-1E4B-4A1D-937B-28A35B243ECF}" type="sibTrans" cxnId="{9B2D7A24-DB78-4C8D-88B7-D2C0CE2B8877}">
      <dgm:prSet/>
      <dgm:spPr/>
      <dgm:t>
        <a:bodyPr/>
        <a:lstStyle/>
        <a:p>
          <a:endParaRPr lang="en-CA"/>
        </a:p>
      </dgm:t>
    </dgm:pt>
    <dgm:pt modelId="{ED054F05-DECF-448A-832E-B98612B081A1}">
      <dgm:prSet phldrT="[Text]" custT="1"/>
      <dgm:spPr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350" tIns="6350" rIns="6350" bIns="6350" numCol="1" spcCol="1270" anchor="ctr" anchorCtr="0"/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3.4. Authentication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59A86B6-2F79-4936-8581-07D0B45049CD}" type="parTrans" cxnId="{426D991C-BC7B-4286-A3EF-54B92D418A56}">
      <dgm:prSet/>
      <dgm:spPr/>
      <dgm:t>
        <a:bodyPr/>
        <a:lstStyle/>
        <a:p>
          <a:endParaRPr lang="en-CA"/>
        </a:p>
      </dgm:t>
    </dgm:pt>
    <dgm:pt modelId="{5E0090F4-BA9F-4822-A5B4-2C1E9396E774}" type="sibTrans" cxnId="{426D991C-BC7B-4286-A3EF-54B92D418A56}">
      <dgm:prSet/>
      <dgm:spPr/>
      <dgm:t>
        <a:bodyPr/>
        <a:lstStyle/>
        <a:p>
          <a:endParaRPr lang="en-CA"/>
        </a:p>
      </dgm:t>
    </dgm:pt>
    <dgm:pt modelId="{728EF172-F1A2-4630-ACBD-09151A8D42E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3.4.1. Login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E0E28DCF-A5AB-4C9B-8D6E-5C57C3D6B80D}" type="parTrans" cxnId="{DDD991E8-0698-44E8-A37F-6B5F05ED00D4}">
      <dgm:prSet/>
      <dgm:spPr/>
      <dgm:t>
        <a:bodyPr/>
        <a:lstStyle/>
        <a:p>
          <a:endParaRPr lang="en-CA"/>
        </a:p>
      </dgm:t>
    </dgm:pt>
    <dgm:pt modelId="{06896C4B-0AE3-4711-993A-9BB0A56EB6F2}" type="sibTrans" cxnId="{DDD991E8-0698-44E8-A37F-6B5F05ED00D4}">
      <dgm:prSet/>
      <dgm:spPr/>
      <dgm:t>
        <a:bodyPr/>
        <a:lstStyle/>
        <a:p>
          <a:endParaRPr lang="en-CA"/>
        </a:p>
      </dgm:t>
    </dgm:pt>
    <dgm:pt modelId="{66822BD2-E0EA-4B23-8515-68CA5DAF36F2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3.4.2. Registration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CA170EC8-BD45-473C-9A48-D8E4B862E170}" type="parTrans" cxnId="{FCB5A58B-E24A-469E-A23E-5C47ED6D1DBE}">
      <dgm:prSet/>
      <dgm:spPr/>
      <dgm:t>
        <a:bodyPr/>
        <a:lstStyle/>
        <a:p>
          <a:endParaRPr lang="en-CA"/>
        </a:p>
      </dgm:t>
    </dgm:pt>
    <dgm:pt modelId="{9E76F400-F081-40C5-B061-15C7F717FAD8}" type="sibTrans" cxnId="{FCB5A58B-E24A-469E-A23E-5C47ED6D1DBE}">
      <dgm:prSet/>
      <dgm:spPr/>
      <dgm:t>
        <a:bodyPr/>
        <a:lstStyle/>
        <a:p>
          <a:endParaRPr lang="en-CA"/>
        </a:p>
      </dgm:t>
    </dgm:pt>
    <dgm:pt modelId="{F56A11B0-F829-4403-B03B-66574A081A1D}">
      <dgm:prSet phldrT="[Text]" custT="1"/>
      <dgm:spPr>
        <a:solidFill>
          <a:schemeClr val="accent4">
            <a:lumMod val="60000"/>
            <a:lumOff val="40000"/>
          </a:schemeClr>
        </a:solidFill>
      </dgm:spPr>
      <dgm:t>
        <a:bodyPr lIns="108000" tIns="72000" rIns="36000" bIns="72000"/>
        <a:lstStyle/>
        <a:p>
          <a:pPr algn="l"/>
          <a:r>
            <a:rPr lang="en-CA" sz="1000" dirty="0">
              <a:solidFill>
                <a:sysClr val="windowText" lastClr="000000"/>
              </a:solidFill>
            </a:rPr>
            <a:t>3.1.1. Edit Profile Name</a:t>
          </a:r>
          <a:endParaRPr lang="en-CA" sz="1000">
            <a:solidFill>
              <a:sysClr val="windowText" lastClr="000000"/>
            </a:solidFill>
            <a:latin typeface="+mn-lt"/>
          </a:endParaRPr>
        </a:p>
      </dgm:t>
    </dgm:pt>
    <dgm:pt modelId="{1795EB77-CC6C-4AC9-AEB9-E8649F4A642D}" type="sibTrans" cxnId="{348ADE71-4DE7-4FC4-8AD4-2C3B295510A4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3EE6172B-B803-440C-92DD-765D3BC6ACDB}" type="parTrans" cxnId="{348ADE71-4DE7-4FC4-8AD4-2C3B295510A4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5CAD7F8E-2D4B-494E-A9B3-8662F2F1C87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93E730C-51B3-4EB3-A4BB-C31B5045F139}" type="sibTrans" cxnId="{2A34B621-429B-41E7-8116-28E63095749A}">
      <dgm:prSet/>
      <dgm:spPr/>
      <dgm:t>
        <a:bodyPr/>
        <a:lstStyle/>
        <a:p>
          <a:endParaRPr lang="en-CA"/>
        </a:p>
      </dgm:t>
    </dgm:pt>
    <dgm:pt modelId="{A716377B-5CE5-4BB0-887C-C66ADEDEFCD0}" type="parTrans" cxnId="{2A34B621-429B-41E7-8116-28E63095749A}">
      <dgm:prSet/>
      <dgm:spPr/>
      <dgm:t>
        <a:bodyPr/>
        <a:lstStyle/>
        <a:p>
          <a:endParaRPr lang="en-CA"/>
        </a:p>
      </dgm:t>
    </dgm:pt>
    <dgm:pt modelId="{2FFF8319-69F4-486B-882F-5B37384F126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D29A0EC-B56A-4231-9A14-54A739D4E7C0}" type="sibTrans" cxnId="{4A9D80B2-A778-4F3C-BF32-893B6F3B935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ECF0464-F6E6-4CE3-8866-0ED853614CC9}" type="parTrans" cxnId="{4A9D80B2-A778-4F3C-BF32-893B6F3B935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AE5E83A7-0964-4C8F-AE38-A162F9EC1141}" type="pres">
      <dgm:prSet presAssocID="{CA0C4A7D-87B4-42FC-B473-86E796E6DB3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3C0F827-EF46-4C6A-8A7B-173F39D63C47}" type="pres">
      <dgm:prSet presAssocID="{3D4AA21C-8618-4D88-ADD2-82497DC1C3C8}" presName="hierRoot1" presStyleCnt="0">
        <dgm:presLayoutVars>
          <dgm:hierBranch val="init"/>
        </dgm:presLayoutVars>
      </dgm:prSet>
      <dgm:spPr/>
    </dgm:pt>
    <dgm:pt modelId="{C17EA8BB-09B7-4C3C-8988-EB642C1DB8DA}" type="pres">
      <dgm:prSet presAssocID="{3D4AA21C-8618-4D88-ADD2-82497DC1C3C8}" presName="rootComposite1" presStyleCnt="0"/>
      <dgm:spPr/>
    </dgm:pt>
    <dgm:pt modelId="{C9906B2A-6D0D-4B97-86E9-67AB72BB51C3}" type="pres">
      <dgm:prSet presAssocID="{3D4AA21C-8618-4D88-ADD2-82497DC1C3C8}" presName="rootText1" presStyleLbl="node0" presStyleIdx="0" presStyleCnt="1" custScaleX="275290" custScaleY="110116">
        <dgm:presLayoutVars>
          <dgm:chPref val="3"/>
        </dgm:presLayoutVars>
      </dgm:prSet>
      <dgm:spPr>
        <a:prstGeom prst="roundRect">
          <a:avLst/>
        </a:prstGeom>
      </dgm:spPr>
    </dgm:pt>
    <dgm:pt modelId="{02ACD5D0-6C9D-484A-BD23-29ABC006DAEA}" type="pres">
      <dgm:prSet presAssocID="{3D4AA21C-8618-4D88-ADD2-82497DC1C3C8}" presName="rootConnector1" presStyleLbl="node1" presStyleIdx="0" presStyleCnt="0"/>
      <dgm:spPr/>
    </dgm:pt>
    <dgm:pt modelId="{FF8BCAD5-BE9A-4430-BBC0-D43BA79507C0}" type="pres">
      <dgm:prSet presAssocID="{3D4AA21C-8618-4D88-ADD2-82497DC1C3C8}" presName="hierChild2" presStyleCnt="0"/>
      <dgm:spPr/>
    </dgm:pt>
    <dgm:pt modelId="{98DD77B9-6508-4827-9493-60FB472DE478}" type="pres">
      <dgm:prSet presAssocID="{E2EA3DBF-0B05-4BE9-80CF-CD8065633172}" presName="Name37" presStyleLbl="parChTrans1D2" presStyleIdx="0" presStyleCnt="4"/>
      <dgm:spPr/>
    </dgm:pt>
    <dgm:pt modelId="{1575CE88-5799-4DA5-9BC6-09897D82DF48}" type="pres">
      <dgm:prSet presAssocID="{A5AE3037-5CDE-48B1-980D-BF755907F721}" presName="hierRoot2" presStyleCnt="0">
        <dgm:presLayoutVars>
          <dgm:hierBranch val="init"/>
        </dgm:presLayoutVars>
      </dgm:prSet>
      <dgm:spPr/>
    </dgm:pt>
    <dgm:pt modelId="{F09DB981-3CD5-4201-8323-D09C948E8960}" type="pres">
      <dgm:prSet presAssocID="{A5AE3037-5CDE-48B1-980D-BF755907F721}" presName="rootComposite" presStyleCnt="0"/>
      <dgm:spPr/>
    </dgm:pt>
    <dgm:pt modelId="{42D1E0BE-354F-4E3C-8806-1977ECF66EA1}" type="pres">
      <dgm:prSet presAssocID="{A5AE3037-5CDE-48B1-980D-BF755907F721}" presName="rootText" presStyleLbl="node2" presStyleIdx="0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6280D6AE-52C6-48FA-A310-9B841171A626}" type="pres">
      <dgm:prSet presAssocID="{A5AE3037-5CDE-48B1-980D-BF755907F721}" presName="rootConnector" presStyleLbl="node2" presStyleIdx="0" presStyleCnt="4"/>
      <dgm:spPr/>
    </dgm:pt>
    <dgm:pt modelId="{E2551EF9-F6B8-4D10-ADCE-CA18AB6F6C19}" type="pres">
      <dgm:prSet presAssocID="{A5AE3037-5CDE-48B1-980D-BF755907F721}" presName="hierChild4" presStyleCnt="0"/>
      <dgm:spPr/>
    </dgm:pt>
    <dgm:pt modelId="{24BF0753-546B-46C2-86A1-B85748862C03}" type="pres">
      <dgm:prSet presAssocID="{3EE6172B-B803-440C-92DD-765D3BC6ACDB}" presName="Name37" presStyleLbl="parChTrans1D3" presStyleIdx="0" presStyleCnt="11"/>
      <dgm:spPr/>
    </dgm:pt>
    <dgm:pt modelId="{8697166C-E6C4-4FAC-9932-876C66AFF466}" type="pres">
      <dgm:prSet presAssocID="{F56A11B0-F829-4403-B03B-66574A081A1D}" presName="hierRoot2" presStyleCnt="0">
        <dgm:presLayoutVars>
          <dgm:hierBranch val="init"/>
        </dgm:presLayoutVars>
      </dgm:prSet>
      <dgm:spPr/>
    </dgm:pt>
    <dgm:pt modelId="{288D150C-2503-4F00-B391-0AABDF1A2B25}" type="pres">
      <dgm:prSet presAssocID="{F56A11B0-F829-4403-B03B-66574A081A1D}" presName="rootComposite" presStyleCnt="0"/>
      <dgm:spPr/>
    </dgm:pt>
    <dgm:pt modelId="{6D82EA0F-014F-47C5-883A-DB387EA6CDAE}" type="pres">
      <dgm:prSet presAssocID="{F56A11B0-F829-4403-B03B-66574A081A1D}" presName="rootText" presStyleLbl="node3" presStyleIdx="0" presStyleCnt="11" custScaleX="268674" custScaleY="134337">
        <dgm:presLayoutVars>
          <dgm:chPref val="3"/>
        </dgm:presLayoutVars>
      </dgm:prSet>
      <dgm:spPr>
        <a:prstGeom prst="roundRect">
          <a:avLst/>
        </a:prstGeom>
      </dgm:spPr>
    </dgm:pt>
    <dgm:pt modelId="{F512030C-FBC5-4D3B-A89E-F874314E7A02}" type="pres">
      <dgm:prSet presAssocID="{F56A11B0-F829-4403-B03B-66574A081A1D}" presName="rootConnector" presStyleLbl="node3" presStyleIdx="0" presStyleCnt="11"/>
      <dgm:spPr/>
    </dgm:pt>
    <dgm:pt modelId="{EEE75C39-9E08-4ACA-8276-F910AEA8229E}" type="pres">
      <dgm:prSet presAssocID="{F56A11B0-F829-4403-B03B-66574A081A1D}" presName="hierChild4" presStyleCnt="0"/>
      <dgm:spPr/>
    </dgm:pt>
    <dgm:pt modelId="{FC544A9F-2494-4136-ADB2-6C417971A872}" type="pres">
      <dgm:prSet presAssocID="{F56A11B0-F829-4403-B03B-66574A081A1D}" presName="hierChild5" presStyleCnt="0"/>
      <dgm:spPr/>
    </dgm:pt>
    <dgm:pt modelId="{E3C07E89-C63D-4449-9138-B5EE3042C7A8}" type="pres">
      <dgm:prSet presAssocID="{4ECF0464-F6E6-4CE3-8866-0ED853614CC9}" presName="Name37" presStyleLbl="parChTrans1D3" presStyleIdx="1" presStyleCnt="11"/>
      <dgm:spPr/>
    </dgm:pt>
    <dgm:pt modelId="{21231F1F-CAD0-4EB2-A434-8F3A9A0C0BD5}" type="pres">
      <dgm:prSet presAssocID="{2FFF8319-69F4-486B-882F-5B37384F1260}" presName="hierRoot2" presStyleCnt="0">
        <dgm:presLayoutVars>
          <dgm:hierBranch val="init"/>
        </dgm:presLayoutVars>
      </dgm:prSet>
      <dgm:spPr/>
    </dgm:pt>
    <dgm:pt modelId="{875569A0-C5C9-4FF7-87B8-70C23F8F6DD7}" type="pres">
      <dgm:prSet presAssocID="{2FFF8319-69F4-486B-882F-5B37384F1260}" presName="rootComposite" presStyleCnt="0"/>
      <dgm:spPr/>
    </dgm:pt>
    <dgm:pt modelId="{16466F66-21BE-440C-AFE1-27401EFCD165}" type="pres">
      <dgm:prSet presAssocID="{2FFF8319-69F4-486B-882F-5B37384F1260}" presName="rootText" presStyleLbl="node3" presStyleIdx="1" presStyleCnt="11" custScaleX="268674" custScaleY="134337" custLinFactNeighborX="2150">
        <dgm:presLayoutVars>
          <dgm:chPref val="3"/>
        </dgm:presLayoutVars>
      </dgm:prSet>
      <dgm:spPr>
        <a:xfrm>
          <a:off x="523157" y="1741922"/>
          <a:ext cx="1756739" cy="439184"/>
        </a:xfrm>
        <a:prstGeom prst="roundRect">
          <a:avLst/>
        </a:prstGeom>
      </dgm:spPr>
    </dgm:pt>
    <dgm:pt modelId="{D53A79D7-A77E-459E-B55D-EB99EE7432DA}" type="pres">
      <dgm:prSet presAssocID="{2FFF8319-69F4-486B-882F-5B37384F1260}" presName="rootConnector" presStyleLbl="node3" presStyleIdx="1" presStyleCnt="11"/>
      <dgm:spPr/>
    </dgm:pt>
    <dgm:pt modelId="{BC9CDFBC-A3BD-4452-8253-FC21870E061E}" type="pres">
      <dgm:prSet presAssocID="{2FFF8319-69F4-486B-882F-5B37384F1260}" presName="hierChild4" presStyleCnt="0"/>
      <dgm:spPr/>
    </dgm:pt>
    <dgm:pt modelId="{72FF905A-11BA-41AD-B5F5-3E7D0248EAC5}" type="pres">
      <dgm:prSet presAssocID="{2FFF8319-69F4-486B-882F-5B37384F1260}" presName="hierChild5" presStyleCnt="0"/>
      <dgm:spPr/>
    </dgm:pt>
    <dgm:pt modelId="{A87082C9-45F3-410C-83B8-8C1C4E93FA1C}" type="pres">
      <dgm:prSet presAssocID="{A716377B-5CE5-4BB0-887C-C66ADEDEFCD0}" presName="Name37" presStyleLbl="parChTrans1D3" presStyleIdx="2" presStyleCnt="11"/>
      <dgm:spPr/>
    </dgm:pt>
    <dgm:pt modelId="{5829CBEC-FF79-45A1-A645-BDDC9CDFC4C1}" type="pres">
      <dgm:prSet presAssocID="{5CAD7F8E-2D4B-494E-A9B3-8662F2F1C876}" presName="hierRoot2" presStyleCnt="0">
        <dgm:presLayoutVars>
          <dgm:hierBranch val="init"/>
        </dgm:presLayoutVars>
      </dgm:prSet>
      <dgm:spPr/>
    </dgm:pt>
    <dgm:pt modelId="{3385CAAA-3FDB-49A4-A502-B8C3537CDCA1}" type="pres">
      <dgm:prSet presAssocID="{5CAD7F8E-2D4B-494E-A9B3-8662F2F1C876}" presName="rootComposite" presStyleCnt="0"/>
      <dgm:spPr/>
    </dgm:pt>
    <dgm:pt modelId="{2841514A-A0DB-45C8-A350-781612C53CB7}" type="pres">
      <dgm:prSet presAssocID="{5CAD7F8E-2D4B-494E-A9B3-8662F2F1C876}" presName="rootText" presStyleLbl="node3" presStyleIdx="2" presStyleCnt="11" custScaleX="268674" custScaleY="134337">
        <dgm:presLayoutVars>
          <dgm:chPref val="3"/>
        </dgm:presLayoutVars>
      </dgm:prSet>
      <dgm:spPr>
        <a:xfrm>
          <a:off x="509100" y="2318416"/>
          <a:ext cx="1756739" cy="439184"/>
        </a:xfrm>
        <a:prstGeom prst="roundRect">
          <a:avLst/>
        </a:prstGeom>
      </dgm:spPr>
    </dgm:pt>
    <dgm:pt modelId="{669661FF-25DD-4243-AB62-68FDBEE0DB7C}" type="pres">
      <dgm:prSet presAssocID="{5CAD7F8E-2D4B-494E-A9B3-8662F2F1C876}" presName="rootConnector" presStyleLbl="node3" presStyleIdx="2" presStyleCnt="11"/>
      <dgm:spPr/>
    </dgm:pt>
    <dgm:pt modelId="{67183722-17A1-4727-AAA6-0A14AB58ED05}" type="pres">
      <dgm:prSet presAssocID="{5CAD7F8E-2D4B-494E-A9B3-8662F2F1C876}" presName="hierChild4" presStyleCnt="0"/>
      <dgm:spPr/>
    </dgm:pt>
    <dgm:pt modelId="{10FEBB28-75D6-4A28-A5E8-76720F8194DB}" type="pres">
      <dgm:prSet presAssocID="{5CAD7F8E-2D4B-494E-A9B3-8662F2F1C876}" presName="hierChild5" presStyleCnt="0"/>
      <dgm:spPr/>
    </dgm:pt>
    <dgm:pt modelId="{0BA468DC-1E4F-47B6-834D-E8FC08A235B4}" type="pres">
      <dgm:prSet presAssocID="{A5AE3037-5CDE-48B1-980D-BF755907F721}" presName="hierChild5" presStyleCnt="0"/>
      <dgm:spPr/>
    </dgm:pt>
    <dgm:pt modelId="{F92DD1E1-B9A1-46FB-97E4-955B61300390}" type="pres">
      <dgm:prSet presAssocID="{DC323120-D202-4A8E-953D-322761F16AE2}" presName="Name37" presStyleLbl="parChTrans1D2" presStyleIdx="1" presStyleCnt="4"/>
      <dgm:spPr/>
    </dgm:pt>
    <dgm:pt modelId="{A9655281-1A11-48A7-A397-28B2365A7821}" type="pres">
      <dgm:prSet presAssocID="{1007B6F3-05BC-4F7A-8E1A-37C08373F646}" presName="hierRoot2" presStyleCnt="0">
        <dgm:presLayoutVars>
          <dgm:hierBranch val="init"/>
        </dgm:presLayoutVars>
      </dgm:prSet>
      <dgm:spPr/>
    </dgm:pt>
    <dgm:pt modelId="{16DF5A1D-F328-4D8F-9A64-679F012C89FD}" type="pres">
      <dgm:prSet presAssocID="{1007B6F3-05BC-4F7A-8E1A-37C08373F646}" presName="rootComposite" presStyleCnt="0"/>
      <dgm:spPr/>
    </dgm:pt>
    <dgm:pt modelId="{1BE2E877-A98C-4F5E-B162-7E381A985946}" type="pres">
      <dgm:prSet presAssocID="{1007B6F3-05BC-4F7A-8E1A-37C08373F646}" presName="rootText" presStyleLbl="node2" presStyleIdx="1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71E225-D9F5-478B-8A95-DB5AA24C6662}" type="pres">
      <dgm:prSet presAssocID="{1007B6F3-05BC-4F7A-8E1A-37C08373F646}" presName="rootConnector" presStyleLbl="node2" presStyleIdx="1" presStyleCnt="4"/>
      <dgm:spPr/>
    </dgm:pt>
    <dgm:pt modelId="{68EA9830-A38B-4137-AD59-A7E86F6FAAA7}" type="pres">
      <dgm:prSet presAssocID="{1007B6F3-05BC-4F7A-8E1A-37C08373F646}" presName="hierChild4" presStyleCnt="0"/>
      <dgm:spPr/>
    </dgm:pt>
    <dgm:pt modelId="{FE6A734C-CD98-41BA-B25A-1C4D4AE8317A}" type="pres">
      <dgm:prSet presAssocID="{1768B429-B295-4E12-A4E5-2959760A26BB}" presName="Name37" presStyleLbl="parChTrans1D3" presStyleIdx="3" presStyleCnt="11"/>
      <dgm:spPr/>
    </dgm:pt>
    <dgm:pt modelId="{0CFBA51D-31D1-471A-9BC7-2CEB9D7C399F}" type="pres">
      <dgm:prSet presAssocID="{882B9642-DB5D-4415-8141-174046543928}" presName="hierRoot2" presStyleCnt="0">
        <dgm:presLayoutVars>
          <dgm:hierBranch val="init"/>
        </dgm:presLayoutVars>
      </dgm:prSet>
      <dgm:spPr/>
    </dgm:pt>
    <dgm:pt modelId="{0D15A8F0-925F-4930-A883-35E4E6551285}" type="pres">
      <dgm:prSet presAssocID="{882B9642-DB5D-4415-8141-174046543928}" presName="rootComposite" presStyleCnt="0"/>
      <dgm:spPr/>
    </dgm:pt>
    <dgm:pt modelId="{6A43EABD-03AA-415F-BE3A-2DD31AB048C5}" type="pres">
      <dgm:prSet presAssocID="{882B9642-DB5D-4415-8141-174046543928}" presName="rootText" presStyleLbl="node3" presStyleIdx="3" presStyleCnt="11" custScaleX="268674" custScaleY="134337">
        <dgm:presLayoutVars>
          <dgm:chPref val="3"/>
        </dgm:presLayoutVars>
      </dgm:prSet>
      <dgm:spPr>
        <a:xfrm>
          <a:off x="2674093" y="1165427"/>
          <a:ext cx="1756739" cy="439184"/>
        </a:xfrm>
        <a:prstGeom prst="roundRect">
          <a:avLst/>
        </a:prstGeom>
      </dgm:spPr>
    </dgm:pt>
    <dgm:pt modelId="{DECA7EAF-1BEF-41A3-ABB3-5EAA3BAAF462}" type="pres">
      <dgm:prSet presAssocID="{882B9642-DB5D-4415-8141-174046543928}" presName="rootConnector" presStyleLbl="node3" presStyleIdx="3" presStyleCnt="11"/>
      <dgm:spPr/>
    </dgm:pt>
    <dgm:pt modelId="{D85C8B7E-C5E4-4E2B-A51E-8DED9E096F4F}" type="pres">
      <dgm:prSet presAssocID="{882B9642-DB5D-4415-8141-174046543928}" presName="hierChild4" presStyleCnt="0"/>
      <dgm:spPr/>
    </dgm:pt>
    <dgm:pt modelId="{9A795A8B-98A0-4E3A-8C63-BBCD9EC7B428}" type="pres">
      <dgm:prSet presAssocID="{882B9642-DB5D-4415-8141-174046543928}" presName="hierChild5" presStyleCnt="0"/>
      <dgm:spPr/>
    </dgm:pt>
    <dgm:pt modelId="{D978C072-8E92-43C4-91B3-F3E661B7ABAC}" type="pres">
      <dgm:prSet presAssocID="{FA1804DE-9856-4A08-B6E3-E8E7C1EC73C0}" presName="Name37" presStyleLbl="parChTrans1D3" presStyleIdx="4" presStyleCnt="11"/>
      <dgm:spPr/>
    </dgm:pt>
    <dgm:pt modelId="{4BE219A9-D29C-4EF0-AD63-17317A4642BE}" type="pres">
      <dgm:prSet presAssocID="{8B0EAEC7-B4D5-4CF1-85E4-FC7CBAB245A6}" presName="hierRoot2" presStyleCnt="0">
        <dgm:presLayoutVars>
          <dgm:hierBranch val="init"/>
        </dgm:presLayoutVars>
      </dgm:prSet>
      <dgm:spPr/>
    </dgm:pt>
    <dgm:pt modelId="{33E3FF0E-3075-4C97-9AB8-B35A81D99026}" type="pres">
      <dgm:prSet presAssocID="{8B0EAEC7-B4D5-4CF1-85E4-FC7CBAB245A6}" presName="rootComposite" presStyleCnt="0"/>
      <dgm:spPr/>
    </dgm:pt>
    <dgm:pt modelId="{19B89C79-DE41-4F48-9743-7325556D13A7}" type="pres">
      <dgm:prSet presAssocID="{8B0EAEC7-B4D5-4CF1-85E4-FC7CBAB245A6}" presName="rootText" presStyleLbl="node3" presStyleIdx="4" presStyleCnt="11" custScaleX="268674" custScaleY="134337">
        <dgm:presLayoutVars>
          <dgm:chPref val="3"/>
        </dgm:presLayoutVars>
      </dgm:prSet>
      <dgm:spPr>
        <a:xfrm>
          <a:off x="2674093" y="1741922"/>
          <a:ext cx="1756739" cy="439184"/>
        </a:xfrm>
        <a:prstGeom prst="roundRect">
          <a:avLst/>
        </a:prstGeom>
      </dgm:spPr>
    </dgm:pt>
    <dgm:pt modelId="{135572E7-D0A9-47F1-B57C-3842E7D4BA7A}" type="pres">
      <dgm:prSet presAssocID="{8B0EAEC7-B4D5-4CF1-85E4-FC7CBAB245A6}" presName="rootConnector" presStyleLbl="node3" presStyleIdx="4" presStyleCnt="11"/>
      <dgm:spPr/>
    </dgm:pt>
    <dgm:pt modelId="{E0086AA6-9892-483C-8BF3-8DFA11CB0C89}" type="pres">
      <dgm:prSet presAssocID="{8B0EAEC7-B4D5-4CF1-85E4-FC7CBAB245A6}" presName="hierChild4" presStyleCnt="0"/>
      <dgm:spPr/>
    </dgm:pt>
    <dgm:pt modelId="{294FCD5E-48DF-44D1-87AD-8120DD61C071}" type="pres">
      <dgm:prSet presAssocID="{8B0EAEC7-B4D5-4CF1-85E4-FC7CBAB245A6}" presName="hierChild5" presStyleCnt="0"/>
      <dgm:spPr/>
    </dgm:pt>
    <dgm:pt modelId="{8E487ED1-854B-4A52-9737-AAF07A5B6561}" type="pres">
      <dgm:prSet presAssocID="{3DA5B83C-D6D6-4F7C-810E-D00E25F2DA99}" presName="Name37" presStyleLbl="parChTrans1D3" presStyleIdx="5" presStyleCnt="11"/>
      <dgm:spPr/>
    </dgm:pt>
    <dgm:pt modelId="{0EDA9EF3-F649-4B52-AB88-688C9B52ADAD}" type="pres">
      <dgm:prSet presAssocID="{0202D3B0-F039-4A45-9B54-52DE61CC6EBF}" presName="hierRoot2" presStyleCnt="0">
        <dgm:presLayoutVars>
          <dgm:hierBranch val="init"/>
        </dgm:presLayoutVars>
      </dgm:prSet>
      <dgm:spPr/>
    </dgm:pt>
    <dgm:pt modelId="{B6A5BF6A-F825-4E87-9BF1-F12F0E1A2824}" type="pres">
      <dgm:prSet presAssocID="{0202D3B0-F039-4A45-9B54-52DE61CC6EBF}" presName="rootComposite" presStyleCnt="0"/>
      <dgm:spPr/>
    </dgm:pt>
    <dgm:pt modelId="{0E67771F-D6B3-42E0-A4EC-8EA8EA99163C}" type="pres">
      <dgm:prSet presAssocID="{0202D3B0-F039-4A45-9B54-52DE61CC6EBF}" presName="rootText" presStyleLbl="node3" presStyleIdx="5" presStyleCnt="11" custScaleX="268674" custScaleY="134337">
        <dgm:presLayoutVars>
          <dgm:chPref val="3"/>
        </dgm:presLayoutVars>
      </dgm:prSet>
      <dgm:spPr>
        <a:xfrm>
          <a:off x="2674093" y="2318416"/>
          <a:ext cx="1756739" cy="439184"/>
        </a:xfrm>
        <a:prstGeom prst="roundRect">
          <a:avLst/>
        </a:prstGeom>
      </dgm:spPr>
    </dgm:pt>
    <dgm:pt modelId="{56227AB4-9AF1-4700-B97A-335834EB032E}" type="pres">
      <dgm:prSet presAssocID="{0202D3B0-F039-4A45-9B54-52DE61CC6EBF}" presName="rootConnector" presStyleLbl="node3" presStyleIdx="5" presStyleCnt="11"/>
      <dgm:spPr/>
    </dgm:pt>
    <dgm:pt modelId="{5913F22F-50C4-401C-9266-A98924DA7048}" type="pres">
      <dgm:prSet presAssocID="{0202D3B0-F039-4A45-9B54-52DE61CC6EBF}" presName="hierChild4" presStyleCnt="0"/>
      <dgm:spPr/>
    </dgm:pt>
    <dgm:pt modelId="{2A7854A4-11CB-4163-A81B-CB4274046604}" type="pres">
      <dgm:prSet presAssocID="{0202D3B0-F039-4A45-9B54-52DE61CC6EBF}" presName="hierChild5" presStyleCnt="0"/>
      <dgm:spPr/>
    </dgm:pt>
    <dgm:pt modelId="{B9E18785-60C1-46A6-89DB-EFB0849FC9C4}" type="pres">
      <dgm:prSet presAssocID="{1007B6F3-05BC-4F7A-8E1A-37C08373F646}" presName="hierChild5" presStyleCnt="0"/>
      <dgm:spPr/>
    </dgm:pt>
    <dgm:pt modelId="{0D136685-5600-4E30-BED0-84E704D24193}" type="pres">
      <dgm:prSet presAssocID="{474A8C66-2F0D-4397-874A-DDCABFDC54EB}" presName="Name37" presStyleLbl="parChTrans1D2" presStyleIdx="2" presStyleCnt="4"/>
      <dgm:spPr/>
    </dgm:pt>
    <dgm:pt modelId="{646878FC-A1C4-4169-97C2-0F25682FDB8A}" type="pres">
      <dgm:prSet presAssocID="{F69D1FAD-E8C8-4443-9C53-33D08E3DE8CE}" presName="hierRoot2" presStyleCnt="0">
        <dgm:presLayoutVars>
          <dgm:hierBranch val="init"/>
        </dgm:presLayoutVars>
      </dgm:prSet>
      <dgm:spPr/>
    </dgm:pt>
    <dgm:pt modelId="{B1B56372-9E70-4A18-ABC7-31AC6F3A3149}" type="pres">
      <dgm:prSet presAssocID="{F69D1FAD-E8C8-4443-9C53-33D08E3DE8CE}" presName="rootComposite" presStyleCnt="0"/>
      <dgm:spPr/>
    </dgm:pt>
    <dgm:pt modelId="{F929D97E-86BE-4488-B496-35906E1F9CAE}" type="pres">
      <dgm:prSet presAssocID="{F69D1FAD-E8C8-4443-9C53-33D08E3DE8CE}" presName="rootText" presStyleLbl="node2" presStyleIdx="2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55BC7D-DAC9-4057-99DB-72B0147F93F2}" type="pres">
      <dgm:prSet presAssocID="{F69D1FAD-E8C8-4443-9C53-33D08E3DE8CE}" presName="rootConnector" presStyleLbl="node2" presStyleIdx="2" presStyleCnt="4"/>
      <dgm:spPr/>
    </dgm:pt>
    <dgm:pt modelId="{44A9F1B2-39FB-45A3-AB69-4CDFB5D6C1C0}" type="pres">
      <dgm:prSet presAssocID="{F69D1FAD-E8C8-4443-9C53-33D08E3DE8CE}" presName="hierChild4" presStyleCnt="0"/>
      <dgm:spPr/>
    </dgm:pt>
    <dgm:pt modelId="{3BF4E0A2-533F-46EF-B1EF-8466DEC47284}" type="pres">
      <dgm:prSet presAssocID="{7B0DE2BE-30B8-41A2-9742-9F7D501ABEE0}" presName="Name37" presStyleLbl="parChTrans1D3" presStyleIdx="6" presStyleCnt="11"/>
      <dgm:spPr/>
    </dgm:pt>
    <dgm:pt modelId="{DC2ABF01-CA2C-4A00-AEB8-54EB3DDBCB56}" type="pres">
      <dgm:prSet presAssocID="{4B850433-3650-48AA-859B-F06BE9D5D2A1}" presName="hierRoot2" presStyleCnt="0">
        <dgm:presLayoutVars>
          <dgm:hierBranch val="init"/>
        </dgm:presLayoutVars>
      </dgm:prSet>
      <dgm:spPr/>
    </dgm:pt>
    <dgm:pt modelId="{4DB6B53A-C791-4485-8973-ADD55BCD34BF}" type="pres">
      <dgm:prSet presAssocID="{4B850433-3650-48AA-859B-F06BE9D5D2A1}" presName="rootComposite" presStyleCnt="0"/>
      <dgm:spPr/>
    </dgm:pt>
    <dgm:pt modelId="{A53EE3FD-0868-455B-8BBA-76212B84AD2F}" type="pres">
      <dgm:prSet presAssocID="{4B850433-3650-48AA-859B-F06BE9D5D2A1}" presName="rootText" presStyleLbl="node3" presStyleIdx="6" presStyleCnt="11" custScaleX="268674" custScaleY="134337">
        <dgm:presLayoutVars>
          <dgm:chPref val="3"/>
        </dgm:presLayoutVars>
      </dgm:prSet>
      <dgm:spPr>
        <a:xfrm>
          <a:off x="4839087" y="1165427"/>
          <a:ext cx="1756739" cy="439184"/>
        </a:xfrm>
        <a:prstGeom prst="roundRect">
          <a:avLst/>
        </a:prstGeom>
      </dgm:spPr>
    </dgm:pt>
    <dgm:pt modelId="{C24ACD5D-4A90-452B-B807-DD2ACB3F82D7}" type="pres">
      <dgm:prSet presAssocID="{4B850433-3650-48AA-859B-F06BE9D5D2A1}" presName="rootConnector" presStyleLbl="node3" presStyleIdx="6" presStyleCnt="11"/>
      <dgm:spPr/>
    </dgm:pt>
    <dgm:pt modelId="{E04CFBD4-1794-4811-9482-8593FC119F23}" type="pres">
      <dgm:prSet presAssocID="{4B850433-3650-48AA-859B-F06BE9D5D2A1}" presName="hierChild4" presStyleCnt="0"/>
      <dgm:spPr/>
    </dgm:pt>
    <dgm:pt modelId="{78B4F3FE-F575-4231-B68B-11F8300430B1}" type="pres">
      <dgm:prSet presAssocID="{4B850433-3650-48AA-859B-F06BE9D5D2A1}" presName="hierChild5" presStyleCnt="0"/>
      <dgm:spPr/>
    </dgm:pt>
    <dgm:pt modelId="{FD2BD50E-D384-49FE-BB00-71E6AEEEE500}" type="pres">
      <dgm:prSet presAssocID="{A3C9C18B-9E10-4A65-87A8-C6D2F29C4622}" presName="Name37" presStyleLbl="parChTrans1D3" presStyleIdx="7" presStyleCnt="11"/>
      <dgm:spPr/>
    </dgm:pt>
    <dgm:pt modelId="{C2D4CFC6-EDEA-4994-85C4-82C320A7C677}" type="pres">
      <dgm:prSet presAssocID="{BAD477F3-63B5-42EE-B3B5-05689244E517}" presName="hierRoot2" presStyleCnt="0">
        <dgm:presLayoutVars>
          <dgm:hierBranch val="init"/>
        </dgm:presLayoutVars>
      </dgm:prSet>
      <dgm:spPr/>
    </dgm:pt>
    <dgm:pt modelId="{D088533D-A6D4-42DD-8549-CE6D6612641C}" type="pres">
      <dgm:prSet presAssocID="{BAD477F3-63B5-42EE-B3B5-05689244E517}" presName="rootComposite" presStyleCnt="0"/>
      <dgm:spPr/>
    </dgm:pt>
    <dgm:pt modelId="{1BB92FE5-CE5A-41FE-B673-C4A4F62BF5AB}" type="pres">
      <dgm:prSet presAssocID="{BAD477F3-63B5-42EE-B3B5-05689244E517}" presName="rootText" presStyleLbl="node3" presStyleIdx="7" presStyleCnt="11" custScaleX="268674" custScaleY="134337">
        <dgm:presLayoutVars>
          <dgm:chPref val="3"/>
        </dgm:presLayoutVars>
      </dgm:prSet>
      <dgm:spPr>
        <a:xfrm>
          <a:off x="4839087" y="1741922"/>
          <a:ext cx="1756739" cy="439184"/>
        </a:xfrm>
        <a:prstGeom prst="roundRect">
          <a:avLst/>
        </a:prstGeom>
      </dgm:spPr>
    </dgm:pt>
    <dgm:pt modelId="{C55C49B2-409B-4525-9D61-0D463E355467}" type="pres">
      <dgm:prSet presAssocID="{BAD477F3-63B5-42EE-B3B5-05689244E517}" presName="rootConnector" presStyleLbl="node3" presStyleIdx="7" presStyleCnt="11"/>
      <dgm:spPr/>
    </dgm:pt>
    <dgm:pt modelId="{01E9F9E7-41C4-4196-B067-4AA632BDE21D}" type="pres">
      <dgm:prSet presAssocID="{BAD477F3-63B5-42EE-B3B5-05689244E517}" presName="hierChild4" presStyleCnt="0"/>
      <dgm:spPr/>
    </dgm:pt>
    <dgm:pt modelId="{16BFCAC6-DC2E-45FA-B317-635DF3BD8F62}" type="pres">
      <dgm:prSet presAssocID="{BAD477F3-63B5-42EE-B3B5-05689244E517}" presName="hierChild5" presStyleCnt="0"/>
      <dgm:spPr/>
    </dgm:pt>
    <dgm:pt modelId="{FEA01142-F62E-4F09-955A-6EF0C7069331}" type="pres">
      <dgm:prSet presAssocID="{9190B60C-4242-4AB8-BE76-B364159818C9}" presName="Name37" presStyleLbl="parChTrans1D3" presStyleIdx="8" presStyleCnt="11"/>
      <dgm:spPr/>
    </dgm:pt>
    <dgm:pt modelId="{F53AEB9B-37A0-47A7-9844-7F512AC66904}" type="pres">
      <dgm:prSet presAssocID="{367DA472-A6B5-4A65-AA92-ABD67FD1CC00}" presName="hierRoot2" presStyleCnt="0">
        <dgm:presLayoutVars>
          <dgm:hierBranch val="init"/>
        </dgm:presLayoutVars>
      </dgm:prSet>
      <dgm:spPr/>
    </dgm:pt>
    <dgm:pt modelId="{5BDCB8CB-9218-4565-AD2A-723662D72680}" type="pres">
      <dgm:prSet presAssocID="{367DA472-A6B5-4A65-AA92-ABD67FD1CC00}" presName="rootComposite" presStyleCnt="0"/>
      <dgm:spPr/>
    </dgm:pt>
    <dgm:pt modelId="{B509DCB6-92BF-408D-9332-348533AC8AE4}" type="pres">
      <dgm:prSet presAssocID="{367DA472-A6B5-4A65-AA92-ABD67FD1CC00}" presName="rootText" presStyleLbl="node3" presStyleIdx="8" presStyleCnt="11" custScaleX="268674" custScaleY="134337">
        <dgm:presLayoutVars>
          <dgm:chPref val="3"/>
        </dgm:presLayoutVars>
      </dgm:prSet>
      <dgm:spPr>
        <a:xfrm>
          <a:off x="4839087" y="2318416"/>
          <a:ext cx="1756739" cy="439184"/>
        </a:xfrm>
        <a:prstGeom prst="roundRect">
          <a:avLst/>
        </a:prstGeom>
      </dgm:spPr>
    </dgm:pt>
    <dgm:pt modelId="{260E8905-E423-4F36-BAD2-9471CD368CFA}" type="pres">
      <dgm:prSet presAssocID="{367DA472-A6B5-4A65-AA92-ABD67FD1CC00}" presName="rootConnector" presStyleLbl="node3" presStyleIdx="8" presStyleCnt="11"/>
      <dgm:spPr/>
    </dgm:pt>
    <dgm:pt modelId="{5477AFEF-68F3-4E40-A383-B71021CC1C12}" type="pres">
      <dgm:prSet presAssocID="{367DA472-A6B5-4A65-AA92-ABD67FD1CC00}" presName="hierChild4" presStyleCnt="0"/>
      <dgm:spPr/>
    </dgm:pt>
    <dgm:pt modelId="{C9993A71-F16C-4C0F-90DE-5F6B5DE2D2C9}" type="pres">
      <dgm:prSet presAssocID="{367DA472-A6B5-4A65-AA92-ABD67FD1CC00}" presName="hierChild5" presStyleCnt="0"/>
      <dgm:spPr/>
    </dgm:pt>
    <dgm:pt modelId="{24437570-CAF3-40CD-AC31-3F36F640E640}" type="pres">
      <dgm:prSet presAssocID="{F69D1FAD-E8C8-4443-9C53-33D08E3DE8CE}" presName="hierChild5" presStyleCnt="0"/>
      <dgm:spPr/>
    </dgm:pt>
    <dgm:pt modelId="{93F63975-AD3A-48CE-8A6A-39CA9BB236AA}" type="pres">
      <dgm:prSet presAssocID="{759A86B6-2F79-4936-8581-07D0B45049CD}" presName="Name37" presStyleLbl="parChTrans1D2" presStyleIdx="3" presStyleCnt="4"/>
      <dgm:spPr/>
    </dgm:pt>
    <dgm:pt modelId="{49325649-D094-4BD1-A2F7-B0C137CD3783}" type="pres">
      <dgm:prSet presAssocID="{ED054F05-DECF-448A-832E-B98612B081A1}" presName="hierRoot2" presStyleCnt="0">
        <dgm:presLayoutVars>
          <dgm:hierBranch val="init"/>
        </dgm:presLayoutVars>
      </dgm:prSet>
      <dgm:spPr/>
    </dgm:pt>
    <dgm:pt modelId="{70789CCD-8B0C-49CD-B4B8-0C065B45323F}" type="pres">
      <dgm:prSet presAssocID="{ED054F05-DECF-448A-832E-B98612B081A1}" presName="rootComposite" presStyleCnt="0"/>
      <dgm:spPr/>
    </dgm:pt>
    <dgm:pt modelId="{0A209B85-31FA-4E41-BE45-2EB0F430555C}" type="pres">
      <dgm:prSet presAssocID="{ED054F05-DECF-448A-832E-B98612B081A1}" presName="rootText" presStyleLbl="node2" presStyleIdx="3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93AA080D-57AE-4E81-958D-F9A1D38E6CF3}" type="pres">
      <dgm:prSet presAssocID="{ED054F05-DECF-448A-832E-B98612B081A1}" presName="rootConnector" presStyleLbl="node2" presStyleIdx="3" presStyleCnt="4"/>
      <dgm:spPr/>
    </dgm:pt>
    <dgm:pt modelId="{5B8EF062-37A5-49E6-A886-57B55A36AD80}" type="pres">
      <dgm:prSet presAssocID="{ED054F05-DECF-448A-832E-B98612B081A1}" presName="hierChild4" presStyleCnt="0"/>
      <dgm:spPr/>
    </dgm:pt>
    <dgm:pt modelId="{07890C3C-0C34-43C6-B53A-43502EC7872E}" type="pres">
      <dgm:prSet presAssocID="{E0E28DCF-A5AB-4C9B-8D6E-5C57C3D6B80D}" presName="Name37" presStyleLbl="parChTrans1D3" presStyleIdx="9" presStyleCnt="11"/>
      <dgm:spPr/>
    </dgm:pt>
    <dgm:pt modelId="{E81F8071-148A-4763-8EFF-7359EBC8DE40}" type="pres">
      <dgm:prSet presAssocID="{728EF172-F1A2-4630-ACBD-09151A8D42E0}" presName="hierRoot2" presStyleCnt="0">
        <dgm:presLayoutVars>
          <dgm:hierBranch val="init"/>
        </dgm:presLayoutVars>
      </dgm:prSet>
      <dgm:spPr/>
    </dgm:pt>
    <dgm:pt modelId="{FDD95A59-FDE0-4E38-BD3F-1AEE9AAEC663}" type="pres">
      <dgm:prSet presAssocID="{728EF172-F1A2-4630-ACBD-09151A8D42E0}" presName="rootComposite" presStyleCnt="0"/>
      <dgm:spPr/>
    </dgm:pt>
    <dgm:pt modelId="{25CBE439-FF8E-48F7-B5EE-F025139ED159}" type="pres">
      <dgm:prSet presAssocID="{728EF172-F1A2-4630-ACBD-09151A8D42E0}" presName="rootText" presStyleLbl="node3" presStyleIdx="9" presStyleCnt="11" custScaleX="268674" custScaleY="134337">
        <dgm:presLayoutVars>
          <dgm:chPref val="3"/>
        </dgm:presLayoutVars>
      </dgm:prSet>
      <dgm:spPr>
        <a:xfrm>
          <a:off x="7004081" y="1165427"/>
          <a:ext cx="1756739" cy="439184"/>
        </a:xfrm>
        <a:prstGeom prst="roundRect">
          <a:avLst/>
        </a:prstGeom>
      </dgm:spPr>
    </dgm:pt>
    <dgm:pt modelId="{EA9065D7-9704-4C0A-8D0D-77EE2F0AF926}" type="pres">
      <dgm:prSet presAssocID="{728EF172-F1A2-4630-ACBD-09151A8D42E0}" presName="rootConnector" presStyleLbl="node3" presStyleIdx="9" presStyleCnt="11"/>
      <dgm:spPr/>
    </dgm:pt>
    <dgm:pt modelId="{D70D0C17-EA0F-4EA2-88B8-05912BDCDDF2}" type="pres">
      <dgm:prSet presAssocID="{728EF172-F1A2-4630-ACBD-09151A8D42E0}" presName="hierChild4" presStyleCnt="0"/>
      <dgm:spPr/>
    </dgm:pt>
    <dgm:pt modelId="{7580CB60-37C3-4922-B670-CB79D70669CB}" type="pres">
      <dgm:prSet presAssocID="{728EF172-F1A2-4630-ACBD-09151A8D42E0}" presName="hierChild5" presStyleCnt="0"/>
      <dgm:spPr/>
    </dgm:pt>
    <dgm:pt modelId="{0682577A-DD48-4F68-A560-24C92A32267A}" type="pres">
      <dgm:prSet presAssocID="{CA170EC8-BD45-473C-9A48-D8E4B862E170}" presName="Name37" presStyleLbl="parChTrans1D3" presStyleIdx="10" presStyleCnt="11"/>
      <dgm:spPr/>
    </dgm:pt>
    <dgm:pt modelId="{F807C59A-718A-4B6B-95A4-4DE71D9B58EF}" type="pres">
      <dgm:prSet presAssocID="{66822BD2-E0EA-4B23-8515-68CA5DAF36F2}" presName="hierRoot2" presStyleCnt="0">
        <dgm:presLayoutVars>
          <dgm:hierBranch val="init"/>
        </dgm:presLayoutVars>
      </dgm:prSet>
      <dgm:spPr/>
    </dgm:pt>
    <dgm:pt modelId="{CCA4A9ED-1E46-487D-A4EC-7A1E9512863F}" type="pres">
      <dgm:prSet presAssocID="{66822BD2-E0EA-4B23-8515-68CA5DAF36F2}" presName="rootComposite" presStyleCnt="0"/>
      <dgm:spPr/>
    </dgm:pt>
    <dgm:pt modelId="{340D405E-7980-48FF-92E8-4B1BA0904690}" type="pres">
      <dgm:prSet presAssocID="{66822BD2-E0EA-4B23-8515-68CA5DAF36F2}" presName="rootText" presStyleLbl="node3" presStyleIdx="10" presStyleCnt="11" custScaleX="268674" custScaleY="134337">
        <dgm:presLayoutVars>
          <dgm:chPref val="3"/>
        </dgm:presLayoutVars>
      </dgm:prSet>
      <dgm:spPr>
        <a:xfrm>
          <a:off x="7004081" y="1741922"/>
          <a:ext cx="1756739" cy="439184"/>
        </a:xfrm>
        <a:prstGeom prst="roundRect">
          <a:avLst/>
        </a:prstGeom>
      </dgm:spPr>
    </dgm:pt>
    <dgm:pt modelId="{8CF0BE38-64A4-48F7-91EA-1C5DF9DE28BA}" type="pres">
      <dgm:prSet presAssocID="{66822BD2-E0EA-4B23-8515-68CA5DAF36F2}" presName="rootConnector" presStyleLbl="node3" presStyleIdx="10" presStyleCnt="11"/>
      <dgm:spPr/>
    </dgm:pt>
    <dgm:pt modelId="{29A25B00-B975-4C02-86E5-474E22CEC8B6}" type="pres">
      <dgm:prSet presAssocID="{66822BD2-E0EA-4B23-8515-68CA5DAF36F2}" presName="hierChild4" presStyleCnt="0"/>
      <dgm:spPr/>
    </dgm:pt>
    <dgm:pt modelId="{61E0D8D8-696B-4694-AB78-FAF9F716517A}" type="pres">
      <dgm:prSet presAssocID="{66822BD2-E0EA-4B23-8515-68CA5DAF36F2}" presName="hierChild5" presStyleCnt="0"/>
      <dgm:spPr/>
    </dgm:pt>
    <dgm:pt modelId="{91D2895F-3E53-4BC7-9AB0-1076D1CBD59C}" type="pres">
      <dgm:prSet presAssocID="{ED054F05-DECF-448A-832E-B98612B081A1}" presName="hierChild5" presStyleCnt="0"/>
      <dgm:spPr/>
    </dgm:pt>
    <dgm:pt modelId="{3ABEBA5C-E863-4AB9-8F74-BB798A86922E}" type="pres">
      <dgm:prSet presAssocID="{3D4AA21C-8618-4D88-ADD2-82497DC1C3C8}" presName="hierChild3" presStyleCnt="0"/>
      <dgm:spPr/>
    </dgm:pt>
  </dgm:ptLst>
  <dgm:cxnLst>
    <dgm:cxn modelId="{6ED3C603-97B0-4752-B216-DC9E87E399A5}" srcId="{1007B6F3-05BC-4F7A-8E1A-37C08373F646}" destId="{8B0EAEC7-B4D5-4CF1-85E4-FC7CBAB245A6}" srcOrd="1" destOrd="0" parTransId="{FA1804DE-9856-4A08-B6E3-E8E7C1EC73C0}" sibTransId="{00DA78FB-7979-4ADC-A1E7-89CD20DF37F4}"/>
    <dgm:cxn modelId="{FD164005-3AE0-4D4C-89CF-4EA99F5863A7}" type="presOf" srcId="{4ECF0464-F6E6-4CE3-8866-0ED853614CC9}" destId="{E3C07E89-C63D-4449-9138-B5EE3042C7A8}" srcOrd="0" destOrd="0" presId="urn:microsoft.com/office/officeart/2005/8/layout/orgChart1"/>
    <dgm:cxn modelId="{0A6B2F0A-A50E-4DBE-873E-26B534D57C42}" type="presOf" srcId="{882B9642-DB5D-4415-8141-174046543928}" destId="{DECA7EAF-1BEF-41A3-ABB3-5EAA3BAAF462}" srcOrd="1" destOrd="0" presId="urn:microsoft.com/office/officeart/2005/8/layout/orgChart1"/>
    <dgm:cxn modelId="{A3B08D0A-F9E4-450E-BD9B-29BD70A3F82F}" type="presOf" srcId="{CA170EC8-BD45-473C-9A48-D8E4B862E170}" destId="{0682577A-DD48-4F68-A560-24C92A32267A}" srcOrd="0" destOrd="0" presId="urn:microsoft.com/office/officeart/2005/8/layout/orgChart1"/>
    <dgm:cxn modelId="{F8E8200E-6303-4DEE-AC38-48932013E859}" type="presOf" srcId="{9190B60C-4242-4AB8-BE76-B364159818C9}" destId="{FEA01142-F62E-4F09-955A-6EF0C7069331}" srcOrd="0" destOrd="0" presId="urn:microsoft.com/office/officeart/2005/8/layout/orgChart1"/>
    <dgm:cxn modelId="{4381B015-5A9A-4C3D-BB15-FA8535434B06}" type="presOf" srcId="{2FFF8319-69F4-486B-882F-5B37384F1260}" destId="{D53A79D7-A77E-459E-B55D-EB99EE7432DA}" srcOrd="1" destOrd="0" presId="urn:microsoft.com/office/officeart/2005/8/layout/orgChart1"/>
    <dgm:cxn modelId="{7CEEFE1A-593C-462C-9519-79F14214D9BF}" type="presOf" srcId="{4B850433-3650-48AA-859B-F06BE9D5D2A1}" destId="{A53EE3FD-0868-455B-8BBA-76212B84AD2F}" srcOrd="0" destOrd="0" presId="urn:microsoft.com/office/officeart/2005/8/layout/orgChart1"/>
    <dgm:cxn modelId="{426D991C-BC7B-4286-A3EF-54B92D418A56}" srcId="{3D4AA21C-8618-4D88-ADD2-82497DC1C3C8}" destId="{ED054F05-DECF-448A-832E-B98612B081A1}" srcOrd="3" destOrd="0" parTransId="{759A86B6-2F79-4936-8581-07D0B45049CD}" sibTransId="{5E0090F4-BA9F-4822-A5B4-2C1E9396E774}"/>
    <dgm:cxn modelId="{2A34B621-429B-41E7-8116-28E63095749A}" srcId="{A5AE3037-5CDE-48B1-980D-BF755907F721}" destId="{5CAD7F8E-2D4B-494E-A9B3-8662F2F1C876}" srcOrd="2" destOrd="0" parTransId="{A716377B-5CE5-4BB0-887C-C66ADEDEFCD0}" sibTransId="{393E730C-51B3-4EB3-A4BB-C31B5045F139}"/>
    <dgm:cxn modelId="{9B2D7A24-DB78-4C8D-88B7-D2C0CE2B8877}" srcId="{F69D1FAD-E8C8-4443-9C53-33D08E3DE8CE}" destId="{BAD477F3-63B5-42EE-B3B5-05689244E517}" srcOrd="1" destOrd="0" parTransId="{A3C9C18B-9E10-4A65-87A8-C6D2F29C4622}" sibTransId="{81F2F3B1-1E4B-4A1D-937B-28A35B243ECF}"/>
    <dgm:cxn modelId="{6FF25B28-8B4A-449D-8C3D-C563B932995C}" type="presOf" srcId="{0202D3B0-F039-4A45-9B54-52DE61CC6EBF}" destId="{0E67771F-D6B3-42E0-A4EC-8EA8EA99163C}" srcOrd="0" destOrd="0" presId="urn:microsoft.com/office/officeart/2005/8/layout/orgChart1"/>
    <dgm:cxn modelId="{ADA8CB29-3110-42D9-AEFD-FB30CA9FB48D}" type="presOf" srcId="{3EE6172B-B803-440C-92DD-765D3BC6ACDB}" destId="{24BF0753-546B-46C2-86A1-B85748862C03}" srcOrd="0" destOrd="0" presId="urn:microsoft.com/office/officeart/2005/8/layout/orgChart1"/>
    <dgm:cxn modelId="{C2917830-CC8A-4650-96FC-724CBA803B91}" type="presOf" srcId="{882B9642-DB5D-4415-8141-174046543928}" destId="{6A43EABD-03AA-415F-BE3A-2DD31AB048C5}" srcOrd="0" destOrd="0" presId="urn:microsoft.com/office/officeart/2005/8/layout/orgChart1"/>
    <dgm:cxn modelId="{47E26532-67C1-4B9B-A634-EEB885B6C3DA}" type="presOf" srcId="{474A8C66-2F0D-4397-874A-DDCABFDC54EB}" destId="{0D136685-5600-4E30-BED0-84E704D24193}" srcOrd="0" destOrd="0" presId="urn:microsoft.com/office/officeart/2005/8/layout/orgChart1"/>
    <dgm:cxn modelId="{4778E934-AAFF-4DAA-9DBE-8D9EBCA345D3}" type="presOf" srcId="{F69D1FAD-E8C8-4443-9C53-33D08E3DE8CE}" destId="{F929D97E-86BE-4488-B496-35906E1F9CAE}" srcOrd="0" destOrd="0" presId="urn:microsoft.com/office/officeart/2005/8/layout/orgChart1"/>
    <dgm:cxn modelId="{A2F57D38-6629-4F0D-A1E5-06908D02D415}" type="presOf" srcId="{F69D1FAD-E8C8-4443-9C53-33D08E3DE8CE}" destId="{B955BC7D-DAC9-4057-99DB-72B0147F93F2}" srcOrd="1" destOrd="0" presId="urn:microsoft.com/office/officeart/2005/8/layout/orgChart1"/>
    <dgm:cxn modelId="{7C467C3C-DA82-4DA1-9166-4291A3425A3C}" type="presOf" srcId="{1007B6F3-05BC-4F7A-8E1A-37C08373F646}" destId="{B971E225-D9F5-478B-8A95-DB5AA24C6662}" srcOrd="1" destOrd="0" presId="urn:microsoft.com/office/officeart/2005/8/layout/orgChart1"/>
    <dgm:cxn modelId="{1EE1ED3E-8431-4CEB-B210-F3FA85AEBEEF}" type="presOf" srcId="{4B850433-3650-48AA-859B-F06BE9D5D2A1}" destId="{C24ACD5D-4A90-452B-B807-DD2ACB3F82D7}" srcOrd="1" destOrd="0" presId="urn:microsoft.com/office/officeart/2005/8/layout/orgChart1"/>
    <dgm:cxn modelId="{11606F5D-72AE-4B60-93DC-5F311426122C}" type="presOf" srcId="{1007B6F3-05BC-4F7A-8E1A-37C08373F646}" destId="{1BE2E877-A98C-4F5E-B162-7E381A985946}" srcOrd="0" destOrd="0" presId="urn:microsoft.com/office/officeart/2005/8/layout/orgChart1"/>
    <dgm:cxn modelId="{CFCB7A42-AF82-45F9-9001-D0C2BA0C1D68}" srcId="{F69D1FAD-E8C8-4443-9C53-33D08E3DE8CE}" destId="{367DA472-A6B5-4A65-AA92-ABD67FD1CC00}" srcOrd="2" destOrd="0" parTransId="{9190B60C-4242-4AB8-BE76-B364159818C9}" sibTransId="{15DB7952-266A-46BB-A9FF-6186DD342E36}"/>
    <dgm:cxn modelId="{57DC6863-7B8D-4255-A91E-13AB24FFDBCA}" type="presOf" srcId="{A5AE3037-5CDE-48B1-980D-BF755907F721}" destId="{6280D6AE-52C6-48FA-A310-9B841171A626}" srcOrd="1" destOrd="0" presId="urn:microsoft.com/office/officeart/2005/8/layout/orgChart1"/>
    <dgm:cxn modelId="{9462EE48-C752-4738-8121-7C5F5D8E3EA9}" srcId="{1007B6F3-05BC-4F7A-8E1A-37C08373F646}" destId="{0202D3B0-F039-4A45-9B54-52DE61CC6EBF}" srcOrd="2" destOrd="0" parTransId="{3DA5B83C-D6D6-4F7C-810E-D00E25F2DA99}" sibTransId="{B9F88689-25EB-4604-9BE4-089FAC838E94}"/>
    <dgm:cxn modelId="{5E6F4D49-0E13-4B7D-A485-A1B48DFB85C7}" type="presOf" srcId="{5CAD7F8E-2D4B-494E-A9B3-8662F2F1C876}" destId="{669661FF-25DD-4243-AB62-68FDBEE0DB7C}" srcOrd="1" destOrd="0" presId="urn:microsoft.com/office/officeart/2005/8/layout/orgChart1"/>
    <dgm:cxn modelId="{BE4A0A6D-A8E9-4536-8DC9-40AC04BA8BC1}" type="presOf" srcId="{F56A11B0-F829-4403-B03B-66574A081A1D}" destId="{F512030C-FBC5-4D3B-A89E-F874314E7A02}" srcOrd="1" destOrd="0" presId="urn:microsoft.com/office/officeart/2005/8/layout/orgChart1"/>
    <dgm:cxn modelId="{AD861E6E-30BC-4B91-8917-8CA0A2119A1D}" type="presOf" srcId="{BAD477F3-63B5-42EE-B3B5-05689244E517}" destId="{1BB92FE5-CE5A-41FE-B673-C4A4F62BF5AB}" srcOrd="0" destOrd="0" presId="urn:microsoft.com/office/officeart/2005/8/layout/orgChart1"/>
    <dgm:cxn modelId="{63B51D50-52CA-4E5F-B004-BA5FF7D5A70A}" type="presOf" srcId="{2FFF8319-69F4-486B-882F-5B37384F1260}" destId="{16466F66-21BE-440C-AFE1-27401EFCD165}" srcOrd="0" destOrd="0" presId="urn:microsoft.com/office/officeart/2005/8/layout/orgChart1"/>
    <dgm:cxn modelId="{0992BD51-A0AE-4CEC-9BB8-0670A828A69C}" type="presOf" srcId="{E2EA3DBF-0B05-4BE9-80CF-CD8065633172}" destId="{98DD77B9-6508-4827-9493-60FB472DE478}" srcOrd="0" destOrd="0" presId="urn:microsoft.com/office/officeart/2005/8/layout/orgChart1"/>
    <dgm:cxn modelId="{348ADE71-4DE7-4FC4-8AD4-2C3B295510A4}" srcId="{A5AE3037-5CDE-48B1-980D-BF755907F721}" destId="{F56A11B0-F829-4403-B03B-66574A081A1D}" srcOrd="0" destOrd="0" parTransId="{3EE6172B-B803-440C-92DD-765D3BC6ACDB}" sibTransId="{1795EB77-CC6C-4AC9-AEB9-E8649F4A642D}"/>
    <dgm:cxn modelId="{A8CE5772-9349-42E6-A708-62E57BAA0D22}" type="presOf" srcId="{1768B429-B295-4E12-A4E5-2959760A26BB}" destId="{FE6A734C-CD98-41BA-B25A-1C4D4AE8317A}" srcOrd="0" destOrd="0" presId="urn:microsoft.com/office/officeart/2005/8/layout/orgChart1"/>
    <dgm:cxn modelId="{5E97D352-E701-45B2-AC47-7FC0773CA41F}" srcId="{F69D1FAD-E8C8-4443-9C53-33D08E3DE8CE}" destId="{4B850433-3650-48AA-859B-F06BE9D5D2A1}" srcOrd="0" destOrd="0" parTransId="{7B0DE2BE-30B8-41A2-9742-9F7D501ABEE0}" sibTransId="{10704553-64AA-4B37-B0EC-C2F455ECB4C5}"/>
    <dgm:cxn modelId="{D7F22C73-C384-416C-8402-4CED0575F3A4}" type="presOf" srcId="{A5AE3037-5CDE-48B1-980D-BF755907F721}" destId="{42D1E0BE-354F-4E3C-8806-1977ECF66EA1}" srcOrd="0" destOrd="0" presId="urn:microsoft.com/office/officeart/2005/8/layout/orgChart1"/>
    <dgm:cxn modelId="{51015C53-54FB-47EC-9B3E-9C37C81D3C33}" type="presOf" srcId="{367DA472-A6B5-4A65-AA92-ABD67FD1CC00}" destId="{B509DCB6-92BF-408D-9332-348533AC8AE4}" srcOrd="0" destOrd="0" presId="urn:microsoft.com/office/officeart/2005/8/layout/orgChart1"/>
    <dgm:cxn modelId="{95CA4473-4507-4D0E-AD48-2EA663AB6E46}" type="presOf" srcId="{728EF172-F1A2-4630-ACBD-09151A8D42E0}" destId="{25CBE439-FF8E-48F7-B5EE-F025139ED159}" srcOrd="0" destOrd="0" presId="urn:microsoft.com/office/officeart/2005/8/layout/orgChart1"/>
    <dgm:cxn modelId="{058BF573-CF72-49AE-A72A-A02138CB8FFC}" type="presOf" srcId="{FA1804DE-9856-4A08-B6E3-E8E7C1EC73C0}" destId="{D978C072-8E92-43C4-91B3-F3E661B7ABAC}" srcOrd="0" destOrd="0" presId="urn:microsoft.com/office/officeart/2005/8/layout/orgChart1"/>
    <dgm:cxn modelId="{26035A75-A7B8-481A-9B7C-A1DD774E82AB}" srcId="{1007B6F3-05BC-4F7A-8E1A-37C08373F646}" destId="{882B9642-DB5D-4415-8141-174046543928}" srcOrd="0" destOrd="0" parTransId="{1768B429-B295-4E12-A4E5-2959760A26BB}" sibTransId="{CEF1BA8D-8962-4916-A848-7A69DE1F430D}"/>
    <dgm:cxn modelId="{B925A275-F9A9-464C-A82D-BEC72209DAB3}" type="presOf" srcId="{8B0EAEC7-B4D5-4CF1-85E4-FC7CBAB245A6}" destId="{19B89C79-DE41-4F48-9743-7325556D13A7}" srcOrd="0" destOrd="0" presId="urn:microsoft.com/office/officeart/2005/8/layout/orgChart1"/>
    <dgm:cxn modelId="{8EB18B56-0FF5-4913-838C-F59B1C48F799}" type="presOf" srcId="{66822BD2-E0EA-4B23-8515-68CA5DAF36F2}" destId="{340D405E-7980-48FF-92E8-4B1BA0904690}" srcOrd="0" destOrd="0" presId="urn:microsoft.com/office/officeart/2005/8/layout/orgChart1"/>
    <dgm:cxn modelId="{D8C6AE59-B514-4E49-B886-5105775305CC}" type="presOf" srcId="{BAD477F3-63B5-42EE-B3B5-05689244E517}" destId="{C55C49B2-409B-4525-9D61-0D463E355467}" srcOrd="1" destOrd="0" presId="urn:microsoft.com/office/officeart/2005/8/layout/orgChart1"/>
    <dgm:cxn modelId="{D691947F-83DF-42ED-92C7-3DB7E354FEC7}" type="presOf" srcId="{0202D3B0-F039-4A45-9B54-52DE61CC6EBF}" destId="{56227AB4-9AF1-4700-B97A-335834EB032E}" srcOrd="1" destOrd="0" presId="urn:microsoft.com/office/officeart/2005/8/layout/orgChart1"/>
    <dgm:cxn modelId="{204D9380-A8FB-4AEE-9320-ABE20AB8D9C3}" type="presOf" srcId="{3D4AA21C-8618-4D88-ADD2-82497DC1C3C8}" destId="{C9906B2A-6D0D-4B97-86E9-67AB72BB51C3}" srcOrd="0" destOrd="0" presId="urn:microsoft.com/office/officeart/2005/8/layout/orgChart1"/>
    <dgm:cxn modelId="{F88EC982-2F55-4262-B195-28979D5D81EA}" type="presOf" srcId="{3DA5B83C-D6D6-4F7C-810E-D00E25F2DA99}" destId="{8E487ED1-854B-4A52-9737-AAF07A5B6561}" srcOrd="0" destOrd="0" presId="urn:microsoft.com/office/officeart/2005/8/layout/orgChart1"/>
    <dgm:cxn modelId="{1D5E9889-F8A7-456A-8743-9102DDFBADFA}" type="presOf" srcId="{367DA472-A6B5-4A65-AA92-ABD67FD1CC00}" destId="{260E8905-E423-4F36-BAD2-9471CD368CFA}" srcOrd="1" destOrd="0" presId="urn:microsoft.com/office/officeart/2005/8/layout/orgChart1"/>
    <dgm:cxn modelId="{274C438A-3C87-4F83-B4D5-19F903E6094D}" type="presOf" srcId="{DC323120-D202-4A8E-953D-322761F16AE2}" destId="{F92DD1E1-B9A1-46FB-97E4-955B61300390}" srcOrd="0" destOrd="0" presId="urn:microsoft.com/office/officeart/2005/8/layout/orgChart1"/>
    <dgm:cxn modelId="{B9E5FE8A-9065-453B-89A8-EA26ACF8C886}" type="presOf" srcId="{728EF172-F1A2-4630-ACBD-09151A8D42E0}" destId="{EA9065D7-9704-4C0A-8D0D-77EE2F0AF926}" srcOrd="1" destOrd="0" presId="urn:microsoft.com/office/officeart/2005/8/layout/orgChart1"/>
    <dgm:cxn modelId="{FCB5A58B-E24A-469E-A23E-5C47ED6D1DBE}" srcId="{ED054F05-DECF-448A-832E-B98612B081A1}" destId="{66822BD2-E0EA-4B23-8515-68CA5DAF36F2}" srcOrd="1" destOrd="0" parTransId="{CA170EC8-BD45-473C-9A48-D8E4B862E170}" sibTransId="{9E76F400-F081-40C5-B061-15C7F717FAD8}"/>
    <dgm:cxn modelId="{29621792-B578-4565-B956-BF34C6A2DA21}" type="presOf" srcId="{7B0DE2BE-30B8-41A2-9742-9F7D501ABEE0}" destId="{3BF4E0A2-533F-46EF-B1EF-8466DEC47284}" srcOrd="0" destOrd="0" presId="urn:microsoft.com/office/officeart/2005/8/layout/orgChart1"/>
    <dgm:cxn modelId="{668BA597-DDEE-4B67-B449-41F893AFC336}" type="presOf" srcId="{E0E28DCF-A5AB-4C9B-8D6E-5C57C3D6B80D}" destId="{07890C3C-0C34-43C6-B53A-43502EC7872E}" srcOrd="0" destOrd="0" presId="urn:microsoft.com/office/officeart/2005/8/layout/orgChart1"/>
    <dgm:cxn modelId="{574395A3-1FFD-404B-9EBD-795AC6B1F259}" type="presOf" srcId="{ED054F05-DECF-448A-832E-B98612B081A1}" destId="{93AA080D-57AE-4E81-958D-F9A1D38E6CF3}" srcOrd="1" destOrd="0" presId="urn:microsoft.com/office/officeart/2005/8/layout/orgChart1"/>
    <dgm:cxn modelId="{9C8B85A5-4540-435D-A91C-6B1075FAB580}" type="presOf" srcId="{8B0EAEC7-B4D5-4CF1-85E4-FC7CBAB245A6}" destId="{135572E7-D0A9-47F1-B57C-3842E7D4BA7A}" srcOrd="1" destOrd="0" presId="urn:microsoft.com/office/officeart/2005/8/layout/orgChart1"/>
    <dgm:cxn modelId="{4A9D80B2-A778-4F3C-BF32-893B6F3B935A}" srcId="{A5AE3037-5CDE-48B1-980D-BF755907F721}" destId="{2FFF8319-69F4-486B-882F-5B37384F1260}" srcOrd="1" destOrd="0" parTransId="{4ECF0464-F6E6-4CE3-8866-0ED853614CC9}" sibTransId="{9D29A0EC-B56A-4231-9A14-54A739D4E7C0}"/>
    <dgm:cxn modelId="{E12D52B8-7AF8-41E4-8169-4569F54348E5}" srcId="{3D4AA21C-8618-4D88-ADD2-82497DC1C3C8}" destId="{A5AE3037-5CDE-48B1-980D-BF755907F721}" srcOrd="0" destOrd="0" parTransId="{E2EA3DBF-0B05-4BE9-80CF-CD8065633172}" sibTransId="{4B6C03A1-DC02-49AD-83B0-4E4E3C4E4627}"/>
    <dgm:cxn modelId="{F56F7FBB-D02E-4B82-A727-8F1A3DE0EADA}" srcId="{3D4AA21C-8618-4D88-ADD2-82497DC1C3C8}" destId="{F69D1FAD-E8C8-4443-9C53-33D08E3DE8CE}" srcOrd="2" destOrd="0" parTransId="{474A8C66-2F0D-4397-874A-DDCABFDC54EB}" sibTransId="{F2361F06-5F23-4E4E-93B2-3A55630A94F3}"/>
    <dgm:cxn modelId="{EE987EDD-7F0C-4008-95C8-049C3E99239D}" type="presOf" srcId="{5CAD7F8E-2D4B-494E-A9B3-8662F2F1C876}" destId="{2841514A-A0DB-45C8-A350-781612C53CB7}" srcOrd="0" destOrd="0" presId="urn:microsoft.com/office/officeart/2005/8/layout/orgChart1"/>
    <dgm:cxn modelId="{46DFFAE5-E9B3-442D-8886-0EC664DB1920}" type="presOf" srcId="{CA0C4A7D-87B4-42FC-B473-86E796E6DB38}" destId="{AE5E83A7-0964-4C8F-AE38-A162F9EC1141}" srcOrd="0" destOrd="0" presId="urn:microsoft.com/office/officeart/2005/8/layout/orgChart1"/>
    <dgm:cxn modelId="{A1DA7FE7-17AF-472E-B24E-CC02037BB48B}" type="presOf" srcId="{ED054F05-DECF-448A-832E-B98612B081A1}" destId="{0A209B85-31FA-4E41-BE45-2EB0F430555C}" srcOrd="0" destOrd="0" presId="urn:microsoft.com/office/officeart/2005/8/layout/orgChart1"/>
    <dgm:cxn modelId="{5842D9E7-7CCB-4B0B-80EF-C642F60D8984}" type="presOf" srcId="{F56A11B0-F829-4403-B03B-66574A081A1D}" destId="{6D82EA0F-014F-47C5-883A-DB387EA6CDAE}" srcOrd="0" destOrd="0" presId="urn:microsoft.com/office/officeart/2005/8/layout/orgChart1"/>
    <dgm:cxn modelId="{DDD991E8-0698-44E8-A37F-6B5F05ED00D4}" srcId="{ED054F05-DECF-448A-832E-B98612B081A1}" destId="{728EF172-F1A2-4630-ACBD-09151A8D42E0}" srcOrd="0" destOrd="0" parTransId="{E0E28DCF-A5AB-4C9B-8D6E-5C57C3D6B80D}" sibTransId="{06896C4B-0AE3-4711-993A-9BB0A56EB6F2}"/>
    <dgm:cxn modelId="{4D50DEE8-3F3F-4BB1-865F-E6D23F0FFF74}" type="presOf" srcId="{3D4AA21C-8618-4D88-ADD2-82497DC1C3C8}" destId="{02ACD5D0-6C9D-484A-BD23-29ABC006DAEA}" srcOrd="1" destOrd="0" presId="urn:microsoft.com/office/officeart/2005/8/layout/orgChart1"/>
    <dgm:cxn modelId="{8C7B12E9-9CF0-45C0-9307-1978F08FF27F}" type="presOf" srcId="{66822BD2-E0EA-4B23-8515-68CA5DAF36F2}" destId="{8CF0BE38-64A4-48F7-91EA-1C5DF9DE28BA}" srcOrd="1" destOrd="0" presId="urn:microsoft.com/office/officeart/2005/8/layout/orgChart1"/>
    <dgm:cxn modelId="{E36013EA-09C0-49C1-8A23-0972C103C6BA}" srcId="{3D4AA21C-8618-4D88-ADD2-82497DC1C3C8}" destId="{1007B6F3-05BC-4F7A-8E1A-37C08373F646}" srcOrd="1" destOrd="0" parTransId="{DC323120-D202-4A8E-953D-322761F16AE2}" sibTransId="{228E9085-F602-4C47-9F8C-5187B1EC5A82}"/>
    <dgm:cxn modelId="{1A5ECEEA-F688-415C-8B77-E5EF3A25757D}" type="presOf" srcId="{A3C9C18B-9E10-4A65-87A8-C6D2F29C4622}" destId="{FD2BD50E-D384-49FE-BB00-71E6AEEEE500}" srcOrd="0" destOrd="0" presId="urn:microsoft.com/office/officeart/2005/8/layout/orgChart1"/>
    <dgm:cxn modelId="{305577ED-3625-4E9D-8C9B-56DA887498F6}" type="presOf" srcId="{759A86B6-2F79-4936-8581-07D0B45049CD}" destId="{93F63975-AD3A-48CE-8A6A-39CA9BB236AA}" srcOrd="0" destOrd="0" presId="urn:microsoft.com/office/officeart/2005/8/layout/orgChart1"/>
    <dgm:cxn modelId="{A89F57EF-47EA-409E-906D-5EE9A6044583}" type="presOf" srcId="{A716377B-5CE5-4BB0-887C-C66ADEDEFCD0}" destId="{A87082C9-45F3-410C-83B8-8C1C4E93FA1C}" srcOrd="0" destOrd="0" presId="urn:microsoft.com/office/officeart/2005/8/layout/orgChart1"/>
    <dgm:cxn modelId="{F49C61F9-6346-4223-916A-0CDD3FF00F58}" srcId="{CA0C4A7D-87B4-42FC-B473-86E796E6DB38}" destId="{3D4AA21C-8618-4D88-ADD2-82497DC1C3C8}" srcOrd="0" destOrd="0" parTransId="{55DD5BB0-27D4-4C12-9A68-2D22B56B3DB9}" sibTransId="{BA36D946-1E1C-4B8A-8920-C56DB42187D5}"/>
    <dgm:cxn modelId="{862E5FAE-F4C5-4F85-B39A-7476FBCF7B59}" type="presParOf" srcId="{AE5E83A7-0964-4C8F-AE38-A162F9EC1141}" destId="{03C0F827-EF46-4C6A-8A7B-173F39D63C47}" srcOrd="0" destOrd="0" presId="urn:microsoft.com/office/officeart/2005/8/layout/orgChart1"/>
    <dgm:cxn modelId="{7D3E24A5-A34A-4292-8689-3AD14D288F1B}" type="presParOf" srcId="{03C0F827-EF46-4C6A-8A7B-173F39D63C47}" destId="{C17EA8BB-09B7-4C3C-8988-EB642C1DB8DA}" srcOrd="0" destOrd="0" presId="urn:microsoft.com/office/officeart/2005/8/layout/orgChart1"/>
    <dgm:cxn modelId="{37B304BE-9525-4A34-8ACD-01E6413768BA}" type="presParOf" srcId="{C17EA8BB-09B7-4C3C-8988-EB642C1DB8DA}" destId="{C9906B2A-6D0D-4B97-86E9-67AB72BB51C3}" srcOrd="0" destOrd="0" presId="urn:microsoft.com/office/officeart/2005/8/layout/orgChart1"/>
    <dgm:cxn modelId="{5039B660-3600-4E45-AA64-30BA62BE3CAB}" type="presParOf" srcId="{C17EA8BB-09B7-4C3C-8988-EB642C1DB8DA}" destId="{02ACD5D0-6C9D-484A-BD23-29ABC006DAEA}" srcOrd="1" destOrd="0" presId="urn:microsoft.com/office/officeart/2005/8/layout/orgChart1"/>
    <dgm:cxn modelId="{16DED783-FCC5-45E0-8E85-6F4048F509B8}" type="presParOf" srcId="{03C0F827-EF46-4C6A-8A7B-173F39D63C47}" destId="{FF8BCAD5-BE9A-4430-BBC0-D43BA79507C0}" srcOrd="1" destOrd="0" presId="urn:microsoft.com/office/officeart/2005/8/layout/orgChart1"/>
    <dgm:cxn modelId="{3AED6512-781A-4E1C-ACA2-F13F5FAC2B9B}" type="presParOf" srcId="{FF8BCAD5-BE9A-4430-BBC0-D43BA79507C0}" destId="{98DD77B9-6508-4827-9493-60FB472DE478}" srcOrd="0" destOrd="0" presId="urn:microsoft.com/office/officeart/2005/8/layout/orgChart1"/>
    <dgm:cxn modelId="{55ED747C-6F30-4378-83C7-C06EBA291995}" type="presParOf" srcId="{FF8BCAD5-BE9A-4430-BBC0-D43BA79507C0}" destId="{1575CE88-5799-4DA5-9BC6-09897D82DF48}" srcOrd="1" destOrd="0" presId="urn:microsoft.com/office/officeart/2005/8/layout/orgChart1"/>
    <dgm:cxn modelId="{80730711-9F88-4D75-8EF9-922356F5F4ED}" type="presParOf" srcId="{1575CE88-5799-4DA5-9BC6-09897D82DF48}" destId="{F09DB981-3CD5-4201-8323-D09C948E8960}" srcOrd="0" destOrd="0" presId="urn:microsoft.com/office/officeart/2005/8/layout/orgChart1"/>
    <dgm:cxn modelId="{002D00EC-5DB7-4458-8C9F-5CDF95CA588C}" type="presParOf" srcId="{F09DB981-3CD5-4201-8323-D09C948E8960}" destId="{42D1E0BE-354F-4E3C-8806-1977ECF66EA1}" srcOrd="0" destOrd="0" presId="urn:microsoft.com/office/officeart/2005/8/layout/orgChart1"/>
    <dgm:cxn modelId="{A15BB471-2C99-4A22-B652-6190D24B907D}" type="presParOf" srcId="{F09DB981-3CD5-4201-8323-D09C948E8960}" destId="{6280D6AE-52C6-48FA-A310-9B841171A626}" srcOrd="1" destOrd="0" presId="urn:microsoft.com/office/officeart/2005/8/layout/orgChart1"/>
    <dgm:cxn modelId="{47AF0B24-FACD-4593-A545-C12EA5EB5AB8}" type="presParOf" srcId="{1575CE88-5799-4DA5-9BC6-09897D82DF48}" destId="{E2551EF9-F6B8-4D10-ADCE-CA18AB6F6C19}" srcOrd="1" destOrd="0" presId="urn:microsoft.com/office/officeart/2005/8/layout/orgChart1"/>
    <dgm:cxn modelId="{7943FBE6-20A1-4C39-B727-F5936F3BFB6F}" type="presParOf" srcId="{E2551EF9-F6B8-4D10-ADCE-CA18AB6F6C19}" destId="{24BF0753-546B-46C2-86A1-B85748862C03}" srcOrd="0" destOrd="0" presId="urn:microsoft.com/office/officeart/2005/8/layout/orgChart1"/>
    <dgm:cxn modelId="{151C84AF-3C29-4A27-9146-F9D8A001677A}" type="presParOf" srcId="{E2551EF9-F6B8-4D10-ADCE-CA18AB6F6C19}" destId="{8697166C-E6C4-4FAC-9932-876C66AFF466}" srcOrd="1" destOrd="0" presId="urn:microsoft.com/office/officeart/2005/8/layout/orgChart1"/>
    <dgm:cxn modelId="{3E2D2B0A-74C3-43C6-A8E1-41B399B5FADE}" type="presParOf" srcId="{8697166C-E6C4-4FAC-9932-876C66AFF466}" destId="{288D150C-2503-4F00-B391-0AABDF1A2B25}" srcOrd="0" destOrd="0" presId="urn:microsoft.com/office/officeart/2005/8/layout/orgChart1"/>
    <dgm:cxn modelId="{4BCE2F4E-EE82-4F37-A584-57E37DB84603}" type="presParOf" srcId="{288D150C-2503-4F00-B391-0AABDF1A2B25}" destId="{6D82EA0F-014F-47C5-883A-DB387EA6CDAE}" srcOrd="0" destOrd="0" presId="urn:microsoft.com/office/officeart/2005/8/layout/orgChart1"/>
    <dgm:cxn modelId="{B16EDDDA-40CD-4884-9943-55ED2D772A69}" type="presParOf" srcId="{288D150C-2503-4F00-B391-0AABDF1A2B25}" destId="{F512030C-FBC5-4D3B-A89E-F874314E7A02}" srcOrd="1" destOrd="0" presId="urn:microsoft.com/office/officeart/2005/8/layout/orgChart1"/>
    <dgm:cxn modelId="{619C0858-7A22-4A23-8899-515C4F04AD40}" type="presParOf" srcId="{8697166C-E6C4-4FAC-9932-876C66AFF466}" destId="{EEE75C39-9E08-4ACA-8276-F910AEA8229E}" srcOrd="1" destOrd="0" presId="urn:microsoft.com/office/officeart/2005/8/layout/orgChart1"/>
    <dgm:cxn modelId="{C90233A1-F2D8-4451-8227-1187265755F0}" type="presParOf" srcId="{8697166C-E6C4-4FAC-9932-876C66AFF466}" destId="{FC544A9F-2494-4136-ADB2-6C417971A872}" srcOrd="2" destOrd="0" presId="urn:microsoft.com/office/officeart/2005/8/layout/orgChart1"/>
    <dgm:cxn modelId="{BB5B751C-917E-4E3B-94CB-A29677CDD833}" type="presParOf" srcId="{E2551EF9-F6B8-4D10-ADCE-CA18AB6F6C19}" destId="{E3C07E89-C63D-4449-9138-B5EE3042C7A8}" srcOrd="2" destOrd="0" presId="urn:microsoft.com/office/officeart/2005/8/layout/orgChart1"/>
    <dgm:cxn modelId="{B3A89F9B-9638-460F-B907-54866369355D}" type="presParOf" srcId="{E2551EF9-F6B8-4D10-ADCE-CA18AB6F6C19}" destId="{21231F1F-CAD0-4EB2-A434-8F3A9A0C0BD5}" srcOrd="3" destOrd="0" presId="urn:microsoft.com/office/officeart/2005/8/layout/orgChart1"/>
    <dgm:cxn modelId="{61D1132F-14C6-4794-A487-F5DBEDA87566}" type="presParOf" srcId="{21231F1F-CAD0-4EB2-A434-8F3A9A0C0BD5}" destId="{875569A0-C5C9-4FF7-87B8-70C23F8F6DD7}" srcOrd="0" destOrd="0" presId="urn:microsoft.com/office/officeart/2005/8/layout/orgChart1"/>
    <dgm:cxn modelId="{9044972E-349A-47F6-BC72-1F512B44DD4C}" type="presParOf" srcId="{875569A0-C5C9-4FF7-87B8-70C23F8F6DD7}" destId="{16466F66-21BE-440C-AFE1-27401EFCD165}" srcOrd="0" destOrd="0" presId="urn:microsoft.com/office/officeart/2005/8/layout/orgChart1"/>
    <dgm:cxn modelId="{88FF593D-3A24-4848-9EAC-41388E08B089}" type="presParOf" srcId="{875569A0-C5C9-4FF7-87B8-70C23F8F6DD7}" destId="{D53A79D7-A77E-459E-B55D-EB99EE7432DA}" srcOrd="1" destOrd="0" presId="urn:microsoft.com/office/officeart/2005/8/layout/orgChart1"/>
    <dgm:cxn modelId="{7049A80E-8444-4A65-B62B-43A80D6495D0}" type="presParOf" srcId="{21231F1F-CAD0-4EB2-A434-8F3A9A0C0BD5}" destId="{BC9CDFBC-A3BD-4452-8253-FC21870E061E}" srcOrd="1" destOrd="0" presId="urn:microsoft.com/office/officeart/2005/8/layout/orgChart1"/>
    <dgm:cxn modelId="{DA9474A1-06EC-416B-A44B-AB57AACFD9F0}" type="presParOf" srcId="{21231F1F-CAD0-4EB2-A434-8F3A9A0C0BD5}" destId="{72FF905A-11BA-41AD-B5F5-3E7D0248EAC5}" srcOrd="2" destOrd="0" presId="urn:microsoft.com/office/officeart/2005/8/layout/orgChart1"/>
    <dgm:cxn modelId="{49C140D2-2B37-4750-A692-B78DBCC8497A}" type="presParOf" srcId="{E2551EF9-F6B8-4D10-ADCE-CA18AB6F6C19}" destId="{A87082C9-45F3-410C-83B8-8C1C4E93FA1C}" srcOrd="4" destOrd="0" presId="urn:microsoft.com/office/officeart/2005/8/layout/orgChart1"/>
    <dgm:cxn modelId="{1CE5EBED-EF99-4929-B1EB-3C0068221D10}" type="presParOf" srcId="{E2551EF9-F6B8-4D10-ADCE-CA18AB6F6C19}" destId="{5829CBEC-FF79-45A1-A645-BDDC9CDFC4C1}" srcOrd="5" destOrd="0" presId="urn:microsoft.com/office/officeart/2005/8/layout/orgChart1"/>
    <dgm:cxn modelId="{EB065F6C-2D9F-4FD3-BE04-D2AFCEBFF62F}" type="presParOf" srcId="{5829CBEC-FF79-45A1-A645-BDDC9CDFC4C1}" destId="{3385CAAA-3FDB-49A4-A502-B8C3537CDCA1}" srcOrd="0" destOrd="0" presId="urn:microsoft.com/office/officeart/2005/8/layout/orgChart1"/>
    <dgm:cxn modelId="{DBDB100D-CEC0-4071-B5E3-5727C6195E4A}" type="presParOf" srcId="{3385CAAA-3FDB-49A4-A502-B8C3537CDCA1}" destId="{2841514A-A0DB-45C8-A350-781612C53CB7}" srcOrd="0" destOrd="0" presId="urn:microsoft.com/office/officeart/2005/8/layout/orgChart1"/>
    <dgm:cxn modelId="{773AFBAF-312C-43A7-9625-878CDCA65933}" type="presParOf" srcId="{3385CAAA-3FDB-49A4-A502-B8C3537CDCA1}" destId="{669661FF-25DD-4243-AB62-68FDBEE0DB7C}" srcOrd="1" destOrd="0" presId="urn:microsoft.com/office/officeart/2005/8/layout/orgChart1"/>
    <dgm:cxn modelId="{DFBD8F52-243B-4880-825F-B407EF798B17}" type="presParOf" srcId="{5829CBEC-FF79-45A1-A645-BDDC9CDFC4C1}" destId="{67183722-17A1-4727-AAA6-0A14AB58ED05}" srcOrd="1" destOrd="0" presId="urn:microsoft.com/office/officeart/2005/8/layout/orgChart1"/>
    <dgm:cxn modelId="{F23C875C-2970-422F-B1EA-536ED711933F}" type="presParOf" srcId="{5829CBEC-FF79-45A1-A645-BDDC9CDFC4C1}" destId="{10FEBB28-75D6-4A28-A5E8-76720F8194DB}" srcOrd="2" destOrd="0" presId="urn:microsoft.com/office/officeart/2005/8/layout/orgChart1"/>
    <dgm:cxn modelId="{2AC224BA-003A-429D-A131-0A67A6DC4C7E}" type="presParOf" srcId="{1575CE88-5799-4DA5-9BC6-09897D82DF48}" destId="{0BA468DC-1E4F-47B6-834D-E8FC08A235B4}" srcOrd="2" destOrd="0" presId="urn:microsoft.com/office/officeart/2005/8/layout/orgChart1"/>
    <dgm:cxn modelId="{CD035174-E76B-4A80-B0D1-0544EC4F26CD}" type="presParOf" srcId="{FF8BCAD5-BE9A-4430-BBC0-D43BA79507C0}" destId="{F92DD1E1-B9A1-46FB-97E4-955B61300390}" srcOrd="2" destOrd="0" presId="urn:microsoft.com/office/officeart/2005/8/layout/orgChart1"/>
    <dgm:cxn modelId="{FBA72B83-A680-4513-95A6-F4B67DEE1D3C}" type="presParOf" srcId="{FF8BCAD5-BE9A-4430-BBC0-D43BA79507C0}" destId="{A9655281-1A11-48A7-A397-28B2365A7821}" srcOrd="3" destOrd="0" presId="urn:microsoft.com/office/officeart/2005/8/layout/orgChart1"/>
    <dgm:cxn modelId="{2F65CE72-D06E-4B7B-8904-6C8764FE8B07}" type="presParOf" srcId="{A9655281-1A11-48A7-A397-28B2365A7821}" destId="{16DF5A1D-F328-4D8F-9A64-679F012C89FD}" srcOrd="0" destOrd="0" presId="urn:microsoft.com/office/officeart/2005/8/layout/orgChart1"/>
    <dgm:cxn modelId="{713A474A-361B-4AB6-9D9E-2361DAABCA50}" type="presParOf" srcId="{16DF5A1D-F328-4D8F-9A64-679F012C89FD}" destId="{1BE2E877-A98C-4F5E-B162-7E381A985946}" srcOrd="0" destOrd="0" presId="urn:microsoft.com/office/officeart/2005/8/layout/orgChart1"/>
    <dgm:cxn modelId="{745B3E7B-07BB-4121-ADBD-6D384BE0C339}" type="presParOf" srcId="{16DF5A1D-F328-4D8F-9A64-679F012C89FD}" destId="{B971E225-D9F5-478B-8A95-DB5AA24C6662}" srcOrd="1" destOrd="0" presId="urn:microsoft.com/office/officeart/2005/8/layout/orgChart1"/>
    <dgm:cxn modelId="{0850BD02-C203-4259-915C-CA5F71405671}" type="presParOf" srcId="{A9655281-1A11-48A7-A397-28B2365A7821}" destId="{68EA9830-A38B-4137-AD59-A7E86F6FAAA7}" srcOrd="1" destOrd="0" presId="urn:microsoft.com/office/officeart/2005/8/layout/orgChart1"/>
    <dgm:cxn modelId="{F9DC34BF-DE0D-4B7C-940D-46A411B2DF52}" type="presParOf" srcId="{68EA9830-A38B-4137-AD59-A7E86F6FAAA7}" destId="{FE6A734C-CD98-41BA-B25A-1C4D4AE8317A}" srcOrd="0" destOrd="0" presId="urn:microsoft.com/office/officeart/2005/8/layout/orgChart1"/>
    <dgm:cxn modelId="{AC71C5B0-7D0C-416E-A8F8-A3AFD5FC6BEB}" type="presParOf" srcId="{68EA9830-A38B-4137-AD59-A7E86F6FAAA7}" destId="{0CFBA51D-31D1-471A-9BC7-2CEB9D7C399F}" srcOrd="1" destOrd="0" presId="urn:microsoft.com/office/officeart/2005/8/layout/orgChart1"/>
    <dgm:cxn modelId="{7E515F47-F7A3-4012-8A41-D9E5261FD60B}" type="presParOf" srcId="{0CFBA51D-31D1-471A-9BC7-2CEB9D7C399F}" destId="{0D15A8F0-925F-4930-A883-35E4E6551285}" srcOrd="0" destOrd="0" presId="urn:microsoft.com/office/officeart/2005/8/layout/orgChart1"/>
    <dgm:cxn modelId="{1B17F253-2AA5-4377-A3EF-B715CA11ADAA}" type="presParOf" srcId="{0D15A8F0-925F-4930-A883-35E4E6551285}" destId="{6A43EABD-03AA-415F-BE3A-2DD31AB048C5}" srcOrd="0" destOrd="0" presId="urn:microsoft.com/office/officeart/2005/8/layout/orgChart1"/>
    <dgm:cxn modelId="{34C944EB-F9D5-433C-A768-B54AB6E26AA1}" type="presParOf" srcId="{0D15A8F0-925F-4930-A883-35E4E6551285}" destId="{DECA7EAF-1BEF-41A3-ABB3-5EAA3BAAF462}" srcOrd="1" destOrd="0" presId="urn:microsoft.com/office/officeart/2005/8/layout/orgChart1"/>
    <dgm:cxn modelId="{CB95013C-7A6B-45E2-80BC-130D85389758}" type="presParOf" srcId="{0CFBA51D-31D1-471A-9BC7-2CEB9D7C399F}" destId="{D85C8B7E-C5E4-4E2B-A51E-8DED9E096F4F}" srcOrd="1" destOrd="0" presId="urn:microsoft.com/office/officeart/2005/8/layout/orgChart1"/>
    <dgm:cxn modelId="{555B232F-53C9-44E8-A4C2-540C6B6B6F11}" type="presParOf" srcId="{0CFBA51D-31D1-471A-9BC7-2CEB9D7C399F}" destId="{9A795A8B-98A0-4E3A-8C63-BBCD9EC7B428}" srcOrd="2" destOrd="0" presId="urn:microsoft.com/office/officeart/2005/8/layout/orgChart1"/>
    <dgm:cxn modelId="{8E212B79-0BE6-4467-BAE9-75E9BA38542A}" type="presParOf" srcId="{68EA9830-A38B-4137-AD59-A7E86F6FAAA7}" destId="{D978C072-8E92-43C4-91B3-F3E661B7ABAC}" srcOrd="2" destOrd="0" presId="urn:microsoft.com/office/officeart/2005/8/layout/orgChart1"/>
    <dgm:cxn modelId="{372793FD-A1F4-4B1A-A8F0-1A38A04410C1}" type="presParOf" srcId="{68EA9830-A38B-4137-AD59-A7E86F6FAAA7}" destId="{4BE219A9-D29C-4EF0-AD63-17317A4642BE}" srcOrd="3" destOrd="0" presId="urn:microsoft.com/office/officeart/2005/8/layout/orgChart1"/>
    <dgm:cxn modelId="{DF380159-ED4E-465C-89CD-91CC7CB98A2E}" type="presParOf" srcId="{4BE219A9-D29C-4EF0-AD63-17317A4642BE}" destId="{33E3FF0E-3075-4C97-9AB8-B35A81D99026}" srcOrd="0" destOrd="0" presId="urn:microsoft.com/office/officeart/2005/8/layout/orgChart1"/>
    <dgm:cxn modelId="{B3A9C1D1-99B2-4482-8099-C46A2B016D51}" type="presParOf" srcId="{33E3FF0E-3075-4C97-9AB8-B35A81D99026}" destId="{19B89C79-DE41-4F48-9743-7325556D13A7}" srcOrd="0" destOrd="0" presId="urn:microsoft.com/office/officeart/2005/8/layout/orgChart1"/>
    <dgm:cxn modelId="{9F64ABE2-DFDD-4016-A7CA-A3302655FFDD}" type="presParOf" srcId="{33E3FF0E-3075-4C97-9AB8-B35A81D99026}" destId="{135572E7-D0A9-47F1-B57C-3842E7D4BA7A}" srcOrd="1" destOrd="0" presId="urn:microsoft.com/office/officeart/2005/8/layout/orgChart1"/>
    <dgm:cxn modelId="{AEBC8336-E330-47C4-875A-215ED8CD12F4}" type="presParOf" srcId="{4BE219A9-D29C-4EF0-AD63-17317A4642BE}" destId="{E0086AA6-9892-483C-8BF3-8DFA11CB0C89}" srcOrd="1" destOrd="0" presId="urn:microsoft.com/office/officeart/2005/8/layout/orgChart1"/>
    <dgm:cxn modelId="{D389A083-490A-4626-829D-7A2001258CEC}" type="presParOf" srcId="{4BE219A9-D29C-4EF0-AD63-17317A4642BE}" destId="{294FCD5E-48DF-44D1-87AD-8120DD61C071}" srcOrd="2" destOrd="0" presId="urn:microsoft.com/office/officeart/2005/8/layout/orgChart1"/>
    <dgm:cxn modelId="{1508251A-ABD4-43FA-94FC-5302D4287E25}" type="presParOf" srcId="{68EA9830-A38B-4137-AD59-A7E86F6FAAA7}" destId="{8E487ED1-854B-4A52-9737-AAF07A5B6561}" srcOrd="4" destOrd="0" presId="urn:microsoft.com/office/officeart/2005/8/layout/orgChart1"/>
    <dgm:cxn modelId="{736A15C6-F1F7-4469-9765-5A2B55880089}" type="presParOf" srcId="{68EA9830-A38B-4137-AD59-A7E86F6FAAA7}" destId="{0EDA9EF3-F649-4B52-AB88-688C9B52ADAD}" srcOrd="5" destOrd="0" presId="urn:microsoft.com/office/officeart/2005/8/layout/orgChart1"/>
    <dgm:cxn modelId="{43BA8F2D-527E-4D77-B09E-6E7161A9B3E1}" type="presParOf" srcId="{0EDA9EF3-F649-4B52-AB88-688C9B52ADAD}" destId="{B6A5BF6A-F825-4E87-9BF1-F12F0E1A2824}" srcOrd="0" destOrd="0" presId="urn:microsoft.com/office/officeart/2005/8/layout/orgChart1"/>
    <dgm:cxn modelId="{D0AFA740-BE14-40D5-BCCA-E932C5E620F7}" type="presParOf" srcId="{B6A5BF6A-F825-4E87-9BF1-F12F0E1A2824}" destId="{0E67771F-D6B3-42E0-A4EC-8EA8EA99163C}" srcOrd="0" destOrd="0" presId="urn:microsoft.com/office/officeart/2005/8/layout/orgChart1"/>
    <dgm:cxn modelId="{8CEA539D-01EC-4F2A-808A-E878CF28EF47}" type="presParOf" srcId="{B6A5BF6A-F825-4E87-9BF1-F12F0E1A2824}" destId="{56227AB4-9AF1-4700-B97A-335834EB032E}" srcOrd="1" destOrd="0" presId="urn:microsoft.com/office/officeart/2005/8/layout/orgChart1"/>
    <dgm:cxn modelId="{35109001-8C7E-4E68-8A8C-198C5E5A603A}" type="presParOf" srcId="{0EDA9EF3-F649-4B52-AB88-688C9B52ADAD}" destId="{5913F22F-50C4-401C-9266-A98924DA7048}" srcOrd="1" destOrd="0" presId="urn:microsoft.com/office/officeart/2005/8/layout/orgChart1"/>
    <dgm:cxn modelId="{54BD7E1E-F693-4E51-9635-B2762AC0720A}" type="presParOf" srcId="{0EDA9EF3-F649-4B52-AB88-688C9B52ADAD}" destId="{2A7854A4-11CB-4163-A81B-CB4274046604}" srcOrd="2" destOrd="0" presId="urn:microsoft.com/office/officeart/2005/8/layout/orgChart1"/>
    <dgm:cxn modelId="{5ED40ADD-1041-44B7-857C-CAD409F86050}" type="presParOf" srcId="{A9655281-1A11-48A7-A397-28B2365A7821}" destId="{B9E18785-60C1-46A6-89DB-EFB0849FC9C4}" srcOrd="2" destOrd="0" presId="urn:microsoft.com/office/officeart/2005/8/layout/orgChart1"/>
    <dgm:cxn modelId="{3459A91B-B9B0-49F2-BCC4-5370BFF2B51B}" type="presParOf" srcId="{FF8BCAD5-BE9A-4430-BBC0-D43BA79507C0}" destId="{0D136685-5600-4E30-BED0-84E704D24193}" srcOrd="4" destOrd="0" presId="urn:microsoft.com/office/officeart/2005/8/layout/orgChart1"/>
    <dgm:cxn modelId="{2FDEB383-773C-4059-9B96-4B60203901C3}" type="presParOf" srcId="{FF8BCAD5-BE9A-4430-BBC0-D43BA79507C0}" destId="{646878FC-A1C4-4169-97C2-0F25682FDB8A}" srcOrd="5" destOrd="0" presId="urn:microsoft.com/office/officeart/2005/8/layout/orgChart1"/>
    <dgm:cxn modelId="{C0B7C717-CE46-4CFC-9B41-14A22D1686A9}" type="presParOf" srcId="{646878FC-A1C4-4169-97C2-0F25682FDB8A}" destId="{B1B56372-9E70-4A18-ABC7-31AC6F3A3149}" srcOrd="0" destOrd="0" presId="urn:microsoft.com/office/officeart/2005/8/layout/orgChart1"/>
    <dgm:cxn modelId="{AE497F41-D0CB-4F3B-ACAD-DD34D8265E15}" type="presParOf" srcId="{B1B56372-9E70-4A18-ABC7-31AC6F3A3149}" destId="{F929D97E-86BE-4488-B496-35906E1F9CAE}" srcOrd="0" destOrd="0" presId="urn:microsoft.com/office/officeart/2005/8/layout/orgChart1"/>
    <dgm:cxn modelId="{E7A6F55D-9EC5-45C4-A7F1-9F0F589307BD}" type="presParOf" srcId="{B1B56372-9E70-4A18-ABC7-31AC6F3A3149}" destId="{B955BC7D-DAC9-4057-99DB-72B0147F93F2}" srcOrd="1" destOrd="0" presId="urn:microsoft.com/office/officeart/2005/8/layout/orgChart1"/>
    <dgm:cxn modelId="{EB1D9C25-3DBA-43AC-8048-CE290BC522B3}" type="presParOf" srcId="{646878FC-A1C4-4169-97C2-0F25682FDB8A}" destId="{44A9F1B2-39FB-45A3-AB69-4CDFB5D6C1C0}" srcOrd="1" destOrd="0" presId="urn:microsoft.com/office/officeart/2005/8/layout/orgChart1"/>
    <dgm:cxn modelId="{72DF257B-9FF8-455A-BDD5-F06E2908A2BA}" type="presParOf" srcId="{44A9F1B2-39FB-45A3-AB69-4CDFB5D6C1C0}" destId="{3BF4E0A2-533F-46EF-B1EF-8466DEC47284}" srcOrd="0" destOrd="0" presId="urn:microsoft.com/office/officeart/2005/8/layout/orgChart1"/>
    <dgm:cxn modelId="{93D0FEDF-B18D-4F40-AAD4-474C1B8B6989}" type="presParOf" srcId="{44A9F1B2-39FB-45A3-AB69-4CDFB5D6C1C0}" destId="{DC2ABF01-CA2C-4A00-AEB8-54EB3DDBCB56}" srcOrd="1" destOrd="0" presId="urn:microsoft.com/office/officeart/2005/8/layout/orgChart1"/>
    <dgm:cxn modelId="{61D335F6-FCF4-4865-9F3F-BD01D3B4D7A6}" type="presParOf" srcId="{DC2ABF01-CA2C-4A00-AEB8-54EB3DDBCB56}" destId="{4DB6B53A-C791-4485-8973-ADD55BCD34BF}" srcOrd="0" destOrd="0" presId="urn:microsoft.com/office/officeart/2005/8/layout/orgChart1"/>
    <dgm:cxn modelId="{D4F48B45-1AAB-4DF7-B48E-AE4FC145FC7E}" type="presParOf" srcId="{4DB6B53A-C791-4485-8973-ADD55BCD34BF}" destId="{A53EE3FD-0868-455B-8BBA-76212B84AD2F}" srcOrd="0" destOrd="0" presId="urn:microsoft.com/office/officeart/2005/8/layout/orgChart1"/>
    <dgm:cxn modelId="{2BD3C4D7-E3ED-4AD5-8162-028E9C6EDA2E}" type="presParOf" srcId="{4DB6B53A-C791-4485-8973-ADD55BCD34BF}" destId="{C24ACD5D-4A90-452B-B807-DD2ACB3F82D7}" srcOrd="1" destOrd="0" presId="urn:microsoft.com/office/officeart/2005/8/layout/orgChart1"/>
    <dgm:cxn modelId="{AF763919-13A6-4646-828F-5EB9C32BA60D}" type="presParOf" srcId="{DC2ABF01-CA2C-4A00-AEB8-54EB3DDBCB56}" destId="{E04CFBD4-1794-4811-9482-8593FC119F23}" srcOrd="1" destOrd="0" presId="urn:microsoft.com/office/officeart/2005/8/layout/orgChart1"/>
    <dgm:cxn modelId="{47B19158-8914-4F0E-A6AB-EDFEBAA2B7B6}" type="presParOf" srcId="{DC2ABF01-CA2C-4A00-AEB8-54EB3DDBCB56}" destId="{78B4F3FE-F575-4231-B68B-11F8300430B1}" srcOrd="2" destOrd="0" presId="urn:microsoft.com/office/officeart/2005/8/layout/orgChart1"/>
    <dgm:cxn modelId="{832E88B0-1D77-4A1D-976F-21B1A4B3BA0B}" type="presParOf" srcId="{44A9F1B2-39FB-45A3-AB69-4CDFB5D6C1C0}" destId="{FD2BD50E-D384-49FE-BB00-71E6AEEEE500}" srcOrd="2" destOrd="0" presId="urn:microsoft.com/office/officeart/2005/8/layout/orgChart1"/>
    <dgm:cxn modelId="{78E5873C-20FD-4DD2-93E2-5F453300C177}" type="presParOf" srcId="{44A9F1B2-39FB-45A3-AB69-4CDFB5D6C1C0}" destId="{C2D4CFC6-EDEA-4994-85C4-82C320A7C677}" srcOrd="3" destOrd="0" presId="urn:microsoft.com/office/officeart/2005/8/layout/orgChart1"/>
    <dgm:cxn modelId="{49971C4A-0D1C-49E8-BABE-AD380306B6EB}" type="presParOf" srcId="{C2D4CFC6-EDEA-4994-85C4-82C320A7C677}" destId="{D088533D-A6D4-42DD-8549-CE6D6612641C}" srcOrd="0" destOrd="0" presId="urn:microsoft.com/office/officeart/2005/8/layout/orgChart1"/>
    <dgm:cxn modelId="{5FA2A9B7-E6A5-46E2-9498-9C3F0DFEBDBB}" type="presParOf" srcId="{D088533D-A6D4-42DD-8549-CE6D6612641C}" destId="{1BB92FE5-CE5A-41FE-B673-C4A4F62BF5AB}" srcOrd="0" destOrd="0" presId="urn:microsoft.com/office/officeart/2005/8/layout/orgChart1"/>
    <dgm:cxn modelId="{EB56ACA5-4D8A-4BF2-9900-1A2AB84FC99D}" type="presParOf" srcId="{D088533D-A6D4-42DD-8549-CE6D6612641C}" destId="{C55C49B2-409B-4525-9D61-0D463E355467}" srcOrd="1" destOrd="0" presId="urn:microsoft.com/office/officeart/2005/8/layout/orgChart1"/>
    <dgm:cxn modelId="{BB38F006-6075-4484-A248-CB48BC5B46F0}" type="presParOf" srcId="{C2D4CFC6-EDEA-4994-85C4-82C320A7C677}" destId="{01E9F9E7-41C4-4196-B067-4AA632BDE21D}" srcOrd="1" destOrd="0" presId="urn:microsoft.com/office/officeart/2005/8/layout/orgChart1"/>
    <dgm:cxn modelId="{1C7A8566-2754-4D72-816C-9EAF263759A7}" type="presParOf" srcId="{C2D4CFC6-EDEA-4994-85C4-82C320A7C677}" destId="{16BFCAC6-DC2E-45FA-B317-635DF3BD8F62}" srcOrd="2" destOrd="0" presId="urn:microsoft.com/office/officeart/2005/8/layout/orgChart1"/>
    <dgm:cxn modelId="{C3409F0C-EE2F-4F56-B183-A12D2DF4B7F2}" type="presParOf" srcId="{44A9F1B2-39FB-45A3-AB69-4CDFB5D6C1C0}" destId="{FEA01142-F62E-4F09-955A-6EF0C7069331}" srcOrd="4" destOrd="0" presId="urn:microsoft.com/office/officeart/2005/8/layout/orgChart1"/>
    <dgm:cxn modelId="{F9D802EB-65A0-4246-B3E0-406DE206FF8A}" type="presParOf" srcId="{44A9F1B2-39FB-45A3-AB69-4CDFB5D6C1C0}" destId="{F53AEB9B-37A0-47A7-9844-7F512AC66904}" srcOrd="5" destOrd="0" presId="urn:microsoft.com/office/officeart/2005/8/layout/orgChart1"/>
    <dgm:cxn modelId="{B01A1423-3DC9-4E8A-BADB-2CD5FF7624CD}" type="presParOf" srcId="{F53AEB9B-37A0-47A7-9844-7F512AC66904}" destId="{5BDCB8CB-9218-4565-AD2A-723662D72680}" srcOrd="0" destOrd="0" presId="urn:microsoft.com/office/officeart/2005/8/layout/orgChart1"/>
    <dgm:cxn modelId="{C8414560-C216-4F17-9985-F4E1A4E11DBF}" type="presParOf" srcId="{5BDCB8CB-9218-4565-AD2A-723662D72680}" destId="{B509DCB6-92BF-408D-9332-348533AC8AE4}" srcOrd="0" destOrd="0" presId="urn:microsoft.com/office/officeart/2005/8/layout/orgChart1"/>
    <dgm:cxn modelId="{D615A7D4-7125-4F0A-95E3-22470D4513CC}" type="presParOf" srcId="{5BDCB8CB-9218-4565-AD2A-723662D72680}" destId="{260E8905-E423-4F36-BAD2-9471CD368CFA}" srcOrd="1" destOrd="0" presId="urn:microsoft.com/office/officeart/2005/8/layout/orgChart1"/>
    <dgm:cxn modelId="{7F0D106E-A235-4592-9F2E-F83EB0FFA88A}" type="presParOf" srcId="{F53AEB9B-37A0-47A7-9844-7F512AC66904}" destId="{5477AFEF-68F3-4E40-A383-B71021CC1C12}" srcOrd="1" destOrd="0" presId="urn:microsoft.com/office/officeart/2005/8/layout/orgChart1"/>
    <dgm:cxn modelId="{0D59618E-DEFD-4A0F-9269-6175BE3C5335}" type="presParOf" srcId="{F53AEB9B-37A0-47A7-9844-7F512AC66904}" destId="{C9993A71-F16C-4C0F-90DE-5F6B5DE2D2C9}" srcOrd="2" destOrd="0" presId="urn:microsoft.com/office/officeart/2005/8/layout/orgChart1"/>
    <dgm:cxn modelId="{6E1A96F8-EB81-449B-A9E6-56CF5D72E662}" type="presParOf" srcId="{646878FC-A1C4-4169-97C2-0F25682FDB8A}" destId="{24437570-CAF3-40CD-AC31-3F36F640E640}" srcOrd="2" destOrd="0" presId="urn:microsoft.com/office/officeart/2005/8/layout/orgChart1"/>
    <dgm:cxn modelId="{856363DA-67E9-4756-BCC8-882E9D520068}" type="presParOf" srcId="{FF8BCAD5-BE9A-4430-BBC0-D43BA79507C0}" destId="{93F63975-AD3A-48CE-8A6A-39CA9BB236AA}" srcOrd="6" destOrd="0" presId="urn:microsoft.com/office/officeart/2005/8/layout/orgChart1"/>
    <dgm:cxn modelId="{FF0D979E-F88A-48B2-A598-67950A4672F3}" type="presParOf" srcId="{FF8BCAD5-BE9A-4430-BBC0-D43BA79507C0}" destId="{49325649-D094-4BD1-A2F7-B0C137CD3783}" srcOrd="7" destOrd="0" presId="urn:microsoft.com/office/officeart/2005/8/layout/orgChart1"/>
    <dgm:cxn modelId="{1CFD233F-2A5F-47BC-8AB1-D5F2FCA00E9D}" type="presParOf" srcId="{49325649-D094-4BD1-A2F7-B0C137CD3783}" destId="{70789CCD-8B0C-49CD-B4B8-0C065B45323F}" srcOrd="0" destOrd="0" presId="urn:microsoft.com/office/officeart/2005/8/layout/orgChart1"/>
    <dgm:cxn modelId="{54EE507B-5D8E-4C4B-99F5-F9FC7D4B485D}" type="presParOf" srcId="{70789CCD-8B0C-49CD-B4B8-0C065B45323F}" destId="{0A209B85-31FA-4E41-BE45-2EB0F430555C}" srcOrd="0" destOrd="0" presId="urn:microsoft.com/office/officeart/2005/8/layout/orgChart1"/>
    <dgm:cxn modelId="{797719CD-5345-4850-B60D-89F7018D64F3}" type="presParOf" srcId="{70789CCD-8B0C-49CD-B4B8-0C065B45323F}" destId="{93AA080D-57AE-4E81-958D-F9A1D38E6CF3}" srcOrd="1" destOrd="0" presId="urn:microsoft.com/office/officeart/2005/8/layout/orgChart1"/>
    <dgm:cxn modelId="{C25FAE36-FA78-4001-A494-B34B63ADF1FB}" type="presParOf" srcId="{49325649-D094-4BD1-A2F7-B0C137CD3783}" destId="{5B8EF062-37A5-49E6-A886-57B55A36AD80}" srcOrd="1" destOrd="0" presId="urn:microsoft.com/office/officeart/2005/8/layout/orgChart1"/>
    <dgm:cxn modelId="{E296EEDA-8719-410E-99E2-E00EDE262C37}" type="presParOf" srcId="{5B8EF062-37A5-49E6-A886-57B55A36AD80}" destId="{07890C3C-0C34-43C6-B53A-43502EC7872E}" srcOrd="0" destOrd="0" presId="urn:microsoft.com/office/officeart/2005/8/layout/orgChart1"/>
    <dgm:cxn modelId="{778316E0-E70B-41A2-B54A-E935B6F023FA}" type="presParOf" srcId="{5B8EF062-37A5-49E6-A886-57B55A36AD80}" destId="{E81F8071-148A-4763-8EFF-7359EBC8DE40}" srcOrd="1" destOrd="0" presId="urn:microsoft.com/office/officeart/2005/8/layout/orgChart1"/>
    <dgm:cxn modelId="{499DA8C2-90E3-4382-8D61-170EE223E00F}" type="presParOf" srcId="{E81F8071-148A-4763-8EFF-7359EBC8DE40}" destId="{FDD95A59-FDE0-4E38-BD3F-1AEE9AAEC663}" srcOrd="0" destOrd="0" presId="urn:microsoft.com/office/officeart/2005/8/layout/orgChart1"/>
    <dgm:cxn modelId="{E136269B-F9C9-4E60-885E-98C49F9131C6}" type="presParOf" srcId="{FDD95A59-FDE0-4E38-BD3F-1AEE9AAEC663}" destId="{25CBE439-FF8E-48F7-B5EE-F025139ED159}" srcOrd="0" destOrd="0" presId="urn:microsoft.com/office/officeart/2005/8/layout/orgChart1"/>
    <dgm:cxn modelId="{46ACC402-A40A-4B95-958C-B269E99A3764}" type="presParOf" srcId="{FDD95A59-FDE0-4E38-BD3F-1AEE9AAEC663}" destId="{EA9065D7-9704-4C0A-8D0D-77EE2F0AF926}" srcOrd="1" destOrd="0" presId="urn:microsoft.com/office/officeart/2005/8/layout/orgChart1"/>
    <dgm:cxn modelId="{E1504282-B74F-4D11-9D59-DA7CA4C9EB05}" type="presParOf" srcId="{E81F8071-148A-4763-8EFF-7359EBC8DE40}" destId="{D70D0C17-EA0F-4EA2-88B8-05912BDCDDF2}" srcOrd="1" destOrd="0" presId="urn:microsoft.com/office/officeart/2005/8/layout/orgChart1"/>
    <dgm:cxn modelId="{9617718E-1DD4-4ECD-AC54-2E9ED2502150}" type="presParOf" srcId="{E81F8071-148A-4763-8EFF-7359EBC8DE40}" destId="{7580CB60-37C3-4922-B670-CB79D70669CB}" srcOrd="2" destOrd="0" presId="urn:microsoft.com/office/officeart/2005/8/layout/orgChart1"/>
    <dgm:cxn modelId="{FCDD4178-9A70-4148-8FB6-0D2DCB6E5617}" type="presParOf" srcId="{5B8EF062-37A5-49E6-A886-57B55A36AD80}" destId="{0682577A-DD48-4F68-A560-24C92A32267A}" srcOrd="2" destOrd="0" presId="urn:microsoft.com/office/officeart/2005/8/layout/orgChart1"/>
    <dgm:cxn modelId="{CF03637F-934D-44F3-8185-ED85866D0C26}" type="presParOf" srcId="{5B8EF062-37A5-49E6-A886-57B55A36AD80}" destId="{F807C59A-718A-4B6B-95A4-4DE71D9B58EF}" srcOrd="3" destOrd="0" presId="urn:microsoft.com/office/officeart/2005/8/layout/orgChart1"/>
    <dgm:cxn modelId="{6D28E6CA-A139-414A-9700-2D84EE15D4D7}" type="presParOf" srcId="{F807C59A-718A-4B6B-95A4-4DE71D9B58EF}" destId="{CCA4A9ED-1E46-487D-A4EC-7A1E9512863F}" srcOrd="0" destOrd="0" presId="urn:microsoft.com/office/officeart/2005/8/layout/orgChart1"/>
    <dgm:cxn modelId="{679433CF-5F6C-4945-AEF5-E5D0C9E312C3}" type="presParOf" srcId="{CCA4A9ED-1E46-487D-A4EC-7A1E9512863F}" destId="{340D405E-7980-48FF-92E8-4B1BA0904690}" srcOrd="0" destOrd="0" presId="urn:microsoft.com/office/officeart/2005/8/layout/orgChart1"/>
    <dgm:cxn modelId="{0A95CB78-A307-4A6A-87BF-811F9319B930}" type="presParOf" srcId="{CCA4A9ED-1E46-487D-A4EC-7A1E9512863F}" destId="{8CF0BE38-64A4-48F7-91EA-1C5DF9DE28BA}" srcOrd="1" destOrd="0" presId="urn:microsoft.com/office/officeart/2005/8/layout/orgChart1"/>
    <dgm:cxn modelId="{CA4D2D0C-6FF9-4714-8CD8-613E3B1138A0}" type="presParOf" srcId="{F807C59A-718A-4B6B-95A4-4DE71D9B58EF}" destId="{29A25B00-B975-4C02-86E5-474E22CEC8B6}" srcOrd="1" destOrd="0" presId="urn:microsoft.com/office/officeart/2005/8/layout/orgChart1"/>
    <dgm:cxn modelId="{4B01AB24-C484-4088-9081-642B8BFD4AFF}" type="presParOf" srcId="{F807C59A-718A-4B6B-95A4-4DE71D9B58EF}" destId="{61E0D8D8-696B-4694-AB78-FAF9F716517A}" srcOrd="2" destOrd="0" presId="urn:microsoft.com/office/officeart/2005/8/layout/orgChart1"/>
    <dgm:cxn modelId="{C0A56EE2-4F58-4E48-8445-76A351F8932F}" type="presParOf" srcId="{49325649-D094-4BD1-A2F7-B0C137CD3783}" destId="{91D2895F-3E53-4BC7-9AB0-1076D1CBD59C}" srcOrd="2" destOrd="0" presId="urn:microsoft.com/office/officeart/2005/8/layout/orgChart1"/>
    <dgm:cxn modelId="{50A5D783-B848-4BD9-8D5B-DD59ACA546D7}" type="presParOf" srcId="{03C0F827-EF46-4C6A-8A7B-173F39D63C47}" destId="{3ABEBA5C-E863-4AB9-8F74-BB798A86922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CA0C4A7D-87B4-42FC-B473-86E796E6DB38}" type="doc">
      <dgm:prSet loTypeId="urn:microsoft.com/office/officeart/2005/8/layout/orgChart1" loCatId="hierarchy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CA"/>
        </a:p>
      </dgm:t>
    </dgm:pt>
    <dgm:pt modelId="{3D4AA21C-8618-4D88-ADD2-82497DC1C3C8}">
      <dgm:prSet phldrT="[Text]" custT="1"/>
      <dgm:spPr>
        <a:solidFill>
          <a:schemeClr val="accent6">
            <a:lumMod val="50000"/>
          </a:schemeClr>
        </a:solidFill>
      </dgm:spPr>
      <dgm:t>
        <a:bodyPr/>
        <a:lstStyle/>
        <a:p>
          <a:r>
            <a:rPr lang="en-CA" sz="1000" b="1">
              <a:solidFill>
                <a:schemeClr val="bg1"/>
              </a:solidFill>
              <a:latin typeface="+mn-lt"/>
              <a:ea typeface="+mn-ea"/>
            </a:rPr>
            <a:t>Development</a:t>
          </a:r>
        </a:p>
      </dgm:t>
    </dgm:pt>
    <dgm:pt modelId="{55DD5BB0-27D4-4C12-9A68-2D22B56B3DB9}" type="par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BA36D946-1E1C-4B8A-8920-C56DB42187D5}" type="sib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A5AE3037-5CDE-48B1-980D-BF755907F721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3.1. Account Management</a:t>
          </a:r>
        </a:p>
      </dgm:t>
    </dgm:pt>
    <dgm:pt modelId="{E2EA3DBF-0B05-4BE9-80CF-CD8065633172}" type="parTrans" cxnId="{E12D52B8-7AF8-41E4-8169-4569F54348E5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4B6C03A1-DC02-49AD-83B0-4E4E3C4E4627}" type="sibTrans" cxnId="{E12D52B8-7AF8-41E4-8169-4569F54348E5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1007B6F3-05BC-4F7A-8E1A-37C08373F646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3.2. Pet Browsing</a:t>
          </a:r>
        </a:p>
      </dgm:t>
    </dgm:pt>
    <dgm:pt modelId="{DC323120-D202-4A8E-953D-322761F16AE2}" type="parTrans" cxnId="{E36013EA-09C0-49C1-8A23-0972C103C6B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228E9085-F602-4C47-9F8C-5187B1EC5A82}" type="sibTrans" cxnId="{E36013EA-09C0-49C1-8A23-0972C103C6B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B850433-3650-48AA-859B-F06BE9D5D2A1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B0DE2BE-30B8-41A2-9742-9F7D501ABEE0}" type="parTrans" cxnId="{5E97D352-E701-45B2-AC47-7FC0773CA41F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10704553-64AA-4B37-B0EC-C2F455ECB4C5}" type="sibTrans" cxnId="{5E97D352-E701-45B2-AC47-7FC0773CA41F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F69D1FAD-E8C8-4443-9C53-33D08E3DE8CE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3.3. Pet Management</a:t>
          </a:r>
        </a:p>
      </dgm:t>
    </dgm:pt>
    <dgm:pt modelId="{474A8C66-2F0D-4397-874A-DDCABFDC54EB}" type="parTrans" cxnId="{F56F7FBB-D02E-4B82-A727-8F1A3DE0EADA}">
      <dgm:prSet/>
      <dgm:spPr/>
      <dgm:t>
        <a:bodyPr/>
        <a:lstStyle/>
        <a:p>
          <a:endParaRPr lang="en-CA"/>
        </a:p>
      </dgm:t>
    </dgm:pt>
    <dgm:pt modelId="{F2361F06-5F23-4E4E-93B2-3A55630A94F3}" type="sibTrans" cxnId="{F56F7FBB-D02E-4B82-A727-8F1A3DE0EADA}">
      <dgm:prSet/>
      <dgm:spPr/>
      <dgm:t>
        <a:bodyPr/>
        <a:lstStyle/>
        <a:p>
          <a:endParaRPr lang="en-CA"/>
        </a:p>
      </dgm:t>
    </dgm:pt>
    <dgm:pt modelId="{882B9642-DB5D-4415-8141-174046543928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1768B429-B295-4E12-A4E5-2959760A26BB}" type="parTrans" cxnId="{26035A75-A7B8-481A-9B7C-A1DD774E82AB}">
      <dgm:prSet/>
      <dgm:spPr/>
      <dgm:t>
        <a:bodyPr/>
        <a:lstStyle/>
        <a:p>
          <a:endParaRPr lang="en-CA"/>
        </a:p>
      </dgm:t>
    </dgm:pt>
    <dgm:pt modelId="{CEF1BA8D-8962-4916-A848-7A69DE1F430D}" type="sibTrans" cxnId="{26035A75-A7B8-481A-9B7C-A1DD774E82AB}">
      <dgm:prSet/>
      <dgm:spPr/>
      <dgm:t>
        <a:bodyPr/>
        <a:lstStyle/>
        <a:p>
          <a:endParaRPr lang="en-CA"/>
        </a:p>
      </dgm:t>
    </dgm:pt>
    <dgm:pt modelId="{8B0EAEC7-B4D5-4CF1-85E4-FC7CBAB245A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FA1804DE-9856-4A08-B6E3-E8E7C1EC73C0}" type="parTrans" cxnId="{6ED3C603-97B0-4752-B216-DC9E87E399A5}">
      <dgm:prSet/>
      <dgm:spPr/>
      <dgm:t>
        <a:bodyPr/>
        <a:lstStyle/>
        <a:p>
          <a:endParaRPr lang="en-CA"/>
        </a:p>
      </dgm:t>
    </dgm:pt>
    <dgm:pt modelId="{00DA78FB-7979-4ADC-A1E7-89CD20DF37F4}" type="sibTrans" cxnId="{6ED3C603-97B0-4752-B216-DC9E87E399A5}">
      <dgm:prSet/>
      <dgm:spPr/>
      <dgm:t>
        <a:bodyPr/>
        <a:lstStyle/>
        <a:p>
          <a:endParaRPr lang="en-CA"/>
        </a:p>
      </dgm:t>
    </dgm:pt>
    <dgm:pt modelId="{0202D3B0-F039-4A45-9B54-52DE61CC6EBF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Accessing Pet Details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DA5B83C-D6D6-4F7C-810E-D00E25F2DA99}" type="parTrans" cxnId="{9462EE48-C752-4738-8121-7C5F5D8E3EA9}">
      <dgm:prSet/>
      <dgm:spPr/>
      <dgm:t>
        <a:bodyPr/>
        <a:lstStyle/>
        <a:p>
          <a:endParaRPr lang="en-CA"/>
        </a:p>
      </dgm:t>
    </dgm:pt>
    <dgm:pt modelId="{B9F88689-25EB-4604-9BE4-089FAC838E94}" type="sibTrans" cxnId="{9462EE48-C752-4738-8121-7C5F5D8E3EA9}">
      <dgm:prSet/>
      <dgm:spPr/>
      <dgm:t>
        <a:bodyPr/>
        <a:lstStyle/>
        <a:p>
          <a:endParaRPr lang="en-CA"/>
        </a:p>
      </dgm:t>
    </dgm:pt>
    <dgm:pt modelId="{367DA472-A6B5-4A65-AA92-ABD67FD1CC0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190B60C-4242-4AB8-BE76-B364159818C9}" type="parTrans" cxnId="{CFCB7A42-AF82-45F9-9001-D0C2BA0C1D68}">
      <dgm:prSet/>
      <dgm:spPr/>
      <dgm:t>
        <a:bodyPr/>
        <a:lstStyle/>
        <a:p>
          <a:endParaRPr lang="en-CA"/>
        </a:p>
      </dgm:t>
    </dgm:pt>
    <dgm:pt modelId="{15DB7952-266A-46BB-A9FF-6186DD342E36}" type="sibTrans" cxnId="{CFCB7A42-AF82-45F9-9001-D0C2BA0C1D68}">
      <dgm:prSet/>
      <dgm:spPr/>
      <dgm:t>
        <a:bodyPr/>
        <a:lstStyle/>
        <a:p>
          <a:endParaRPr lang="en-CA"/>
        </a:p>
      </dgm:t>
    </dgm:pt>
    <dgm:pt modelId="{BAD477F3-63B5-42EE-B3B5-05689244E517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A3C9C18B-9E10-4A65-87A8-C6D2F29C4622}" type="parTrans" cxnId="{9B2D7A24-DB78-4C8D-88B7-D2C0CE2B8877}">
      <dgm:prSet/>
      <dgm:spPr/>
      <dgm:t>
        <a:bodyPr/>
        <a:lstStyle/>
        <a:p>
          <a:endParaRPr lang="en-CA"/>
        </a:p>
      </dgm:t>
    </dgm:pt>
    <dgm:pt modelId="{81F2F3B1-1E4B-4A1D-937B-28A35B243ECF}" type="sibTrans" cxnId="{9B2D7A24-DB78-4C8D-88B7-D2C0CE2B8877}">
      <dgm:prSet/>
      <dgm:spPr/>
      <dgm:t>
        <a:bodyPr/>
        <a:lstStyle/>
        <a:p>
          <a:endParaRPr lang="en-CA"/>
        </a:p>
      </dgm:t>
    </dgm:pt>
    <dgm:pt modelId="{ED054F05-DECF-448A-832E-B98612B081A1}">
      <dgm:prSet phldrT="[Text]" custT="1"/>
      <dgm:spPr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350" tIns="6350" rIns="6350" bIns="6350" numCol="1" spcCol="1270" anchor="ctr" anchorCtr="0"/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3.4. Authentication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59A86B6-2F79-4936-8581-07D0B45049CD}" type="parTrans" cxnId="{426D991C-BC7B-4286-A3EF-54B92D418A56}">
      <dgm:prSet/>
      <dgm:spPr/>
      <dgm:t>
        <a:bodyPr/>
        <a:lstStyle/>
        <a:p>
          <a:endParaRPr lang="en-CA"/>
        </a:p>
      </dgm:t>
    </dgm:pt>
    <dgm:pt modelId="{5E0090F4-BA9F-4822-A5B4-2C1E9396E774}" type="sibTrans" cxnId="{426D991C-BC7B-4286-A3EF-54B92D418A56}">
      <dgm:prSet/>
      <dgm:spPr/>
      <dgm:t>
        <a:bodyPr/>
        <a:lstStyle/>
        <a:p>
          <a:endParaRPr lang="en-CA"/>
        </a:p>
      </dgm:t>
    </dgm:pt>
    <dgm:pt modelId="{728EF172-F1A2-4630-ACBD-09151A8D42E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3.4.1. Login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E0E28DCF-A5AB-4C9B-8D6E-5C57C3D6B80D}" type="parTrans" cxnId="{DDD991E8-0698-44E8-A37F-6B5F05ED00D4}">
      <dgm:prSet/>
      <dgm:spPr/>
      <dgm:t>
        <a:bodyPr/>
        <a:lstStyle/>
        <a:p>
          <a:endParaRPr lang="en-CA"/>
        </a:p>
      </dgm:t>
    </dgm:pt>
    <dgm:pt modelId="{06896C4B-0AE3-4711-993A-9BB0A56EB6F2}" type="sibTrans" cxnId="{DDD991E8-0698-44E8-A37F-6B5F05ED00D4}">
      <dgm:prSet/>
      <dgm:spPr/>
      <dgm:t>
        <a:bodyPr/>
        <a:lstStyle/>
        <a:p>
          <a:endParaRPr lang="en-CA"/>
        </a:p>
      </dgm:t>
    </dgm:pt>
    <dgm:pt modelId="{66822BD2-E0EA-4B23-8515-68CA5DAF36F2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3.4.2. Registration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CA170EC8-BD45-473C-9A48-D8E4B862E170}" type="parTrans" cxnId="{FCB5A58B-E24A-469E-A23E-5C47ED6D1DBE}">
      <dgm:prSet/>
      <dgm:spPr/>
      <dgm:t>
        <a:bodyPr/>
        <a:lstStyle/>
        <a:p>
          <a:endParaRPr lang="en-CA"/>
        </a:p>
      </dgm:t>
    </dgm:pt>
    <dgm:pt modelId="{9E76F400-F081-40C5-B061-15C7F717FAD8}" type="sibTrans" cxnId="{FCB5A58B-E24A-469E-A23E-5C47ED6D1DBE}">
      <dgm:prSet/>
      <dgm:spPr/>
      <dgm:t>
        <a:bodyPr/>
        <a:lstStyle/>
        <a:p>
          <a:endParaRPr lang="en-CA"/>
        </a:p>
      </dgm:t>
    </dgm:pt>
    <dgm:pt modelId="{F56A11B0-F829-4403-B03B-66574A081A1D}">
      <dgm:prSet phldrT="[Text]" custT="1"/>
      <dgm:spPr>
        <a:solidFill>
          <a:schemeClr val="accent4">
            <a:lumMod val="60000"/>
            <a:lumOff val="40000"/>
          </a:schemeClr>
        </a:solidFill>
      </dgm:spPr>
      <dgm:t>
        <a:bodyPr lIns="108000" tIns="72000" rIns="36000" bIns="72000"/>
        <a:lstStyle/>
        <a:p>
          <a:pPr algn="l"/>
          <a:r>
            <a:rPr lang="en-CA" sz="1000" dirty="0">
              <a:solidFill>
                <a:sysClr val="windowText" lastClr="000000"/>
              </a:solidFill>
            </a:rPr>
            <a:t>3.1.1. Edit Profile Name</a:t>
          </a:r>
          <a:endParaRPr lang="en-CA" sz="1000">
            <a:solidFill>
              <a:sysClr val="windowText" lastClr="000000"/>
            </a:solidFill>
            <a:latin typeface="+mn-lt"/>
          </a:endParaRPr>
        </a:p>
      </dgm:t>
    </dgm:pt>
    <dgm:pt modelId="{1795EB77-CC6C-4AC9-AEB9-E8649F4A642D}" type="sibTrans" cxnId="{348ADE71-4DE7-4FC4-8AD4-2C3B295510A4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3EE6172B-B803-440C-92DD-765D3BC6ACDB}" type="parTrans" cxnId="{348ADE71-4DE7-4FC4-8AD4-2C3B295510A4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5CAD7F8E-2D4B-494E-A9B3-8662F2F1C87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93E730C-51B3-4EB3-A4BB-C31B5045F139}" type="sibTrans" cxnId="{2A34B621-429B-41E7-8116-28E63095749A}">
      <dgm:prSet/>
      <dgm:spPr/>
      <dgm:t>
        <a:bodyPr/>
        <a:lstStyle/>
        <a:p>
          <a:endParaRPr lang="en-CA"/>
        </a:p>
      </dgm:t>
    </dgm:pt>
    <dgm:pt modelId="{A716377B-5CE5-4BB0-887C-C66ADEDEFCD0}" type="parTrans" cxnId="{2A34B621-429B-41E7-8116-28E63095749A}">
      <dgm:prSet/>
      <dgm:spPr/>
      <dgm:t>
        <a:bodyPr/>
        <a:lstStyle/>
        <a:p>
          <a:endParaRPr lang="en-CA"/>
        </a:p>
      </dgm:t>
    </dgm:pt>
    <dgm:pt modelId="{2FFF8319-69F4-486B-882F-5B37384F126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D29A0EC-B56A-4231-9A14-54A739D4E7C0}" type="sibTrans" cxnId="{4A9D80B2-A778-4F3C-BF32-893B6F3B935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ECF0464-F6E6-4CE3-8866-0ED853614CC9}" type="parTrans" cxnId="{4A9D80B2-A778-4F3C-BF32-893B6F3B935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AE5E83A7-0964-4C8F-AE38-A162F9EC1141}" type="pres">
      <dgm:prSet presAssocID="{CA0C4A7D-87B4-42FC-B473-86E796E6DB3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3C0F827-EF46-4C6A-8A7B-173F39D63C47}" type="pres">
      <dgm:prSet presAssocID="{3D4AA21C-8618-4D88-ADD2-82497DC1C3C8}" presName="hierRoot1" presStyleCnt="0">
        <dgm:presLayoutVars>
          <dgm:hierBranch val="init"/>
        </dgm:presLayoutVars>
      </dgm:prSet>
      <dgm:spPr/>
    </dgm:pt>
    <dgm:pt modelId="{C17EA8BB-09B7-4C3C-8988-EB642C1DB8DA}" type="pres">
      <dgm:prSet presAssocID="{3D4AA21C-8618-4D88-ADD2-82497DC1C3C8}" presName="rootComposite1" presStyleCnt="0"/>
      <dgm:spPr/>
    </dgm:pt>
    <dgm:pt modelId="{C9906B2A-6D0D-4B97-86E9-67AB72BB51C3}" type="pres">
      <dgm:prSet presAssocID="{3D4AA21C-8618-4D88-ADD2-82497DC1C3C8}" presName="rootText1" presStyleLbl="node0" presStyleIdx="0" presStyleCnt="1" custScaleX="275290" custScaleY="110116">
        <dgm:presLayoutVars>
          <dgm:chPref val="3"/>
        </dgm:presLayoutVars>
      </dgm:prSet>
      <dgm:spPr>
        <a:prstGeom prst="roundRect">
          <a:avLst/>
        </a:prstGeom>
      </dgm:spPr>
    </dgm:pt>
    <dgm:pt modelId="{02ACD5D0-6C9D-484A-BD23-29ABC006DAEA}" type="pres">
      <dgm:prSet presAssocID="{3D4AA21C-8618-4D88-ADD2-82497DC1C3C8}" presName="rootConnector1" presStyleLbl="node1" presStyleIdx="0" presStyleCnt="0"/>
      <dgm:spPr/>
    </dgm:pt>
    <dgm:pt modelId="{FF8BCAD5-BE9A-4430-BBC0-D43BA79507C0}" type="pres">
      <dgm:prSet presAssocID="{3D4AA21C-8618-4D88-ADD2-82497DC1C3C8}" presName="hierChild2" presStyleCnt="0"/>
      <dgm:spPr/>
    </dgm:pt>
    <dgm:pt modelId="{98DD77B9-6508-4827-9493-60FB472DE478}" type="pres">
      <dgm:prSet presAssocID="{E2EA3DBF-0B05-4BE9-80CF-CD8065633172}" presName="Name37" presStyleLbl="parChTrans1D2" presStyleIdx="0" presStyleCnt="4"/>
      <dgm:spPr/>
    </dgm:pt>
    <dgm:pt modelId="{1575CE88-5799-4DA5-9BC6-09897D82DF48}" type="pres">
      <dgm:prSet presAssocID="{A5AE3037-5CDE-48B1-980D-BF755907F721}" presName="hierRoot2" presStyleCnt="0">
        <dgm:presLayoutVars>
          <dgm:hierBranch val="init"/>
        </dgm:presLayoutVars>
      </dgm:prSet>
      <dgm:spPr/>
    </dgm:pt>
    <dgm:pt modelId="{F09DB981-3CD5-4201-8323-D09C948E8960}" type="pres">
      <dgm:prSet presAssocID="{A5AE3037-5CDE-48B1-980D-BF755907F721}" presName="rootComposite" presStyleCnt="0"/>
      <dgm:spPr/>
    </dgm:pt>
    <dgm:pt modelId="{42D1E0BE-354F-4E3C-8806-1977ECF66EA1}" type="pres">
      <dgm:prSet presAssocID="{A5AE3037-5CDE-48B1-980D-BF755907F721}" presName="rootText" presStyleLbl="node2" presStyleIdx="0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6280D6AE-52C6-48FA-A310-9B841171A626}" type="pres">
      <dgm:prSet presAssocID="{A5AE3037-5CDE-48B1-980D-BF755907F721}" presName="rootConnector" presStyleLbl="node2" presStyleIdx="0" presStyleCnt="4"/>
      <dgm:spPr/>
    </dgm:pt>
    <dgm:pt modelId="{E2551EF9-F6B8-4D10-ADCE-CA18AB6F6C19}" type="pres">
      <dgm:prSet presAssocID="{A5AE3037-5CDE-48B1-980D-BF755907F721}" presName="hierChild4" presStyleCnt="0"/>
      <dgm:spPr/>
    </dgm:pt>
    <dgm:pt modelId="{24BF0753-546B-46C2-86A1-B85748862C03}" type="pres">
      <dgm:prSet presAssocID="{3EE6172B-B803-440C-92DD-765D3BC6ACDB}" presName="Name37" presStyleLbl="parChTrans1D3" presStyleIdx="0" presStyleCnt="11"/>
      <dgm:spPr/>
    </dgm:pt>
    <dgm:pt modelId="{8697166C-E6C4-4FAC-9932-876C66AFF466}" type="pres">
      <dgm:prSet presAssocID="{F56A11B0-F829-4403-B03B-66574A081A1D}" presName="hierRoot2" presStyleCnt="0">
        <dgm:presLayoutVars>
          <dgm:hierBranch val="init"/>
        </dgm:presLayoutVars>
      </dgm:prSet>
      <dgm:spPr/>
    </dgm:pt>
    <dgm:pt modelId="{288D150C-2503-4F00-B391-0AABDF1A2B25}" type="pres">
      <dgm:prSet presAssocID="{F56A11B0-F829-4403-B03B-66574A081A1D}" presName="rootComposite" presStyleCnt="0"/>
      <dgm:spPr/>
    </dgm:pt>
    <dgm:pt modelId="{6D82EA0F-014F-47C5-883A-DB387EA6CDAE}" type="pres">
      <dgm:prSet presAssocID="{F56A11B0-F829-4403-B03B-66574A081A1D}" presName="rootText" presStyleLbl="node3" presStyleIdx="0" presStyleCnt="11" custScaleX="268674" custScaleY="134337">
        <dgm:presLayoutVars>
          <dgm:chPref val="3"/>
        </dgm:presLayoutVars>
      </dgm:prSet>
      <dgm:spPr>
        <a:prstGeom prst="roundRect">
          <a:avLst/>
        </a:prstGeom>
      </dgm:spPr>
    </dgm:pt>
    <dgm:pt modelId="{F512030C-FBC5-4D3B-A89E-F874314E7A02}" type="pres">
      <dgm:prSet presAssocID="{F56A11B0-F829-4403-B03B-66574A081A1D}" presName="rootConnector" presStyleLbl="node3" presStyleIdx="0" presStyleCnt="11"/>
      <dgm:spPr/>
    </dgm:pt>
    <dgm:pt modelId="{EEE75C39-9E08-4ACA-8276-F910AEA8229E}" type="pres">
      <dgm:prSet presAssocID="{F56A11B0-F829-4403-B03B-66574A081A1D}" presName="hierChild4" presStyleCnt="0"/>
      <dgm:spPr/>
    </dgm:pt>
    <dgm:pt modelId="{FC544A9F-2494-4136-ADB2-6C417971A872}" type="pres">
      <dgm:prSet presAssocID="{F56A11B0-F829-4403-B03B-66574A081A1D}" presName="hierChild5" presStyleCnt="0"/>
      <dgm:spPr/>
    </dgm:pt>
    <dgm:pt modelId="{E3C07E89-C63D-4449-9138-B5EE3042C7A8}" type="pres">
      <dgm:prSet presAssocID="{4ECF0464-F6E6-4CE3-8866-0ED853614CC9}" presName="Name37" presStyleLbl="parChTrans1D3" presStyleIdx="1" presStyleCnt="11"/>
      <dgm:spPr/>
    </dgm:pt>
    <dgm:pt modelId="{21231F1F-CAD0-4EB2-A434-8F3A9A0C0BD5}" type="pres">
      <dgm:prSet presAssocID="{2FFF8319-69F4-486B-882F-5B37384F1260}" presName="hierRoot2" presStyleCnt="0">
        <dgm:presLayoutVars>
          <dgm:hierBranch val="init"/>
        </dgm:presLayoutVars>
      </dgm:prSet>
      <dgm:spPr/>
    </dgm:pt>
    <dgm:pt modelId="{875569A0-C5C9-4FF7-87B8-70C23F8F6DD7}" type="pres">
      <dgm:prSet presAssocID="{2FFF8319-69F4-486B-882F-5B37384F1260}" presName="rootComposite" presStyleCnt="0"/>
      <dgm:spPr/>
    </dgm:pt>
    <dgm:pt modelId="{16466F66-21BE-440C-AFE1-27401EFCD165}" type="pres">
      <dgm:prSet presAssocID="{2FFF8319-69F4-486B-882F-5B37384F1260}" presName="rootText" presStyleLbl="node3" presStyleIdx="1" presStyleCnt="11" custScaleX="268674" custScaleY="134337" custLinFactNeighborX="2150">
        <dgm:presLayoutVars>
          <dgm:chPref val="3"/>
        </dgm:presLayoutVars>
      </dgm:prSet>
      <dgm:spPr>
        <a:xfrm>
          <a:off x="523157" y="1741922"/>
          <a:ext cx="1756739" cy="439184"/>
        </a:xfrm>
        <a:prstGeom prst="roundRect">
          <a:avLst/>
        </a:prstGeom>
      </dgm:spPr>
    </dgm:pt>
    <dgm:pt modelId="{D53A79D7-A77E-459E-B55D-EB99EE7432DA}" type="pres">
      <dgm:prSet presAssocID="{2FFF8319-69F4-486B-882F-5B37384F1260}" presName="rootConnector" presStyleLbl="node3" presStyleIdx="1" presStyleCnt="11"/>
      <dgm:spPr/>
    </dgm:pt>
    <dgm:pt modelId="{BC9CDFBC-A3BD-4452-8253-FC21870E061E}" type="pres">
      <dgm:prSet presAssocID="{2FFF8319-69F4-486B-882F-5B37384F1260}" presName="hierChild4" presStyleCnt="0"/>
      <dgm:spPr/>
    </dgm:pt>
    <dgm:pt modelId="{72FF905A-11BA-41AD-B5F5-3E7D0248EAC5}" type="pres">
      <dgm:prSet presAssocID="{2FFF8319-69F4-486B-882F-5B37384F1260}" presName="hierChild5" presStyleCnt="0"/>
      <dgm:spPr/>
    </dgm:pt>
    <dgm:pt modelId="{A87082C9-45F3-410C-83B8-8C1C4E93FA1C}" type="pres">
      <dgm:prSet presAssocID="{A716377B-5CE5-4BB0-887C-C66ADEDEFCD0}" presName="Name37" presStyleLbl="parChTrans1D3" presStyleIdx="2" presStyleCnt="11"/>
      <dgm:spPr/>
    </dgm:pt>
    <dgm:pt modelId="{5829CBEC-FF79-45A1-A645-BDDC9CDFC4C1}" type="pres">
      <dgm:prSet presAssocID="{5CAD7F8E-2D4B-494E-A9B3-8662F2F1C876}" presName="hierRoot2" presStyleCnt="0">
        <dgm:presLayoutVars>
          <dgm:hierBranch val="init"/>
        </dgm:presLayoutVars>
      </dgm:prSet>
      <dgm:spPr/>
    </dgm:pt>
    <dgm:pt modelId="{3385CAAA-3FDB-49A4-A502-B8C3537CDCA1}" type="pres">
      <dgm:prSet presAssocID="{5CAD7F8E-2D4B-494E-A9B3-8662F2F1C876}" presName="rootComposite" presStyleCnt="0"/>
      <dgm:spPr/>
    </dgm:pt>
    <dgm:pt modelId="{2841514A-A0DB-45C8-A350-781612C53CB7}" type="pres">
      <dgm:prSet presAssocID="{5CAD7F8E-2D4B-494E-A9B3-8662F2F1C876}" presName="rootText" presStyleLbl="node3" presStyleIdx="2" presStyleCnt="11" custScaleX="268674" custScaleY="134337">
        <dgm:presLayoutVars>
          <dgm:chPref val="3"/>
        </dgm:presLayoutVars>
      </dgm:prSet>
      <dgm:spPr>
        <a:xfrm>
          <a:off x="509100" y="2318416"/>
          <a:ext cx="1756739" cy="439184"/>
        </a:xfrm>
        <a:prstGeom prst="roundRect">
          <a:avLst/>
        </a:prstGeom>
      </dgm:spPr>
    </dgm:pt>
    <dgm:pt modelId="{669661FF-25DD-4243-AB62-68FDBEE0DB7C}" type="pres">
      <dgm:prSet presAssocID="{5CAD7F8E-2D4B-494E-A9B3-8662F2F1C876}" presName="rootConnector" presStyleLbl="node3" presStyleIdx="2" presStyleCnt="11"/>
      <dgm:spPr/>
    </dgm:pt>
    <dgm:pt modelId="{67183722-17A1-4727-AAA6-0A14AB58ED05}" type="pres">
      <dgm:prSet presAssocID="{5CAD7F8E-2D4B-494E-A9B3-8662F2F1C876}" presName="hierChild4" presStyleCnt="0"/>
      <dgm:spPr/>
    </dgm:pt>
    <dgm:pt modelId="{10FEBB28-75D6-4A28-A5E8-76720F8194DB}" type="pres">
      <dgm:prSet presAssocID="{5CAD7F8E-2D4B-494E-A9B3-8662F2F1C876}" presName="hierChild5" presStyleCnt="0"/>
      <dgm:spPr/>
    </dgm:pt>
    <dgm:pt modelId="{0BA468DC-1E4F-47B6-834D-E8FC08A235B4}" type="pres">
      <dgm:prSet presAssocID="{A5AE3037-5CDE-48B1-980D-BF755907F721}" presName="hierChild5" presStyleCnt="0"/>
      <dgm:spPr/>
    </dgm:pt>
    <dgm:pt modelId="{F92DD1E1-B9A1-46FB-97E4-955B61300390}" type="pres">
      <dgm:prSet presAssocID="{DC323120-D202-4A8E-953D-322761F16AE2}" presName="Name37" presStyleLbl="parChTrans1D2" presStyleIdx="1" presStyleCnt="4"/>
      <dgm:spPr/>
    </dgm:pt>
    <dgm:pt modelId="{A9655281-1A11-48A7-A397-28B2365A7821}" type="pres">
      <dgm:prSet presAssocID="{1007B6F3-05BC-4F7A-8E1A-37C08373F646}" presName="hierRoot2" presStyleCnt="0">
        <dgm:presLayoutVars>
          <dgm:hierBranch val="init"/>
        </dgm:presLayoutVars>
      </dgm:prSet>
      <dgm:spPr/>
    </dgm:pt>
    <dgm:pt modelId="{16DF5A1D-F328-4D8F-9A64-679F012C89FD}" type="pres">
      <dgm:prSet presAssocID="{1007B6F3-05BC-4F7A-8E1A-37C08373F646}" presName="rootComposite" presStyleCnt="0"/>
      <dgm:spPr/>
    </dgm:pt>
    <dgm:pt modelId="{1BE2E877-A98C-4F5E-B162-7E381A985946}" type="pres">
      <dgm:prSet presAssocID="{1007B6F3-05BC-4F7A-8E1A-37C08373F646}" presName="rootText" presStyleLbl="node2" presStyleIdx="1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71E225-D9F5-478B-8A95-DB5AA24C6662}" type="pres">
      <dgm:prSet presAssocID="{1007B6F3-05BC-4F7A-8E1A-37C08373F646}" presName="rootConnector" presStyleLbl="node2" presStyleIdx="1" presStyleCnt="4"/>
      <dgm:spPr/>
    </dgm:pt>
    <dgm:pt modelId="{68EA9830-A38B-4137-AD59-A7E86F6FAAA7}" type="pres">
      <dgm:prSet presAssocID="{1007B6F3-05BC-4F7A-8E1A-37C08373F646}" presName="hierChild4" presStyleCnt="0"/>
      <dgm:spPr/>
    </dgm:pt>
    <dgm:pt modelId="{FE6A734C-CD98-41BA-B25A-1C4D4AE8317A}" type="pres">
      <dgm:prSet presAssocID="{1768B429-B295-4E12-A4E5-2959760A26BB}" presName="Name37" presStyleLbl="parChTrans1D3" presStyleIdx="3" presStyleCnt="11"/>
      <dgm:spPr/>
    </dgm:pt>
    <dgm:pt modelId="{0CFBA51D-31D1-471A-9BC7-2CEB9D7C399F}" type="pres">
      <dgm:prSet presAssocID="{882B9642-DB5D-4415-8141-174046543928}" presName="hierRoot2" presStyleCnt="0">
        <dgm:presLayoutVars>
          <dgm:hierBranch val="init"/>
        </dgm:presLayoutVars>
      </dgm:prSet>
      <dgm:spPr/>
    </dgm:pt>
    <dgm:pt modelId="{0D15A8F0-925F-4930-A883-35E4E6551285}" type="pres">
      <dgm:prSet presAssocID="{882B9642-DB5D-4415-8141-174046543928}" presName="rootComposite" presStyleCnt="0"/>
      <dgm:spPr/>
    </dgm:pt>
    <dgm:pt modelId="{6A43EABD-03AA-415F-BE3A-2DD31AB048C5}" type="pres">
      <dgm:prSet presAssocID="{882B9642-DB5D-4415-8141-174046543928}" presName="rootText" presStyleLbl="node3" presStyleIdx="3" presStyleCnt="11" custScaleX="268674" custScaleY="134337">
        <dgm:presLayoutVars>
          <dgm:chPref val="3"/>
        </dgm:presLayoutVars>
      </dgm:prSet>
      <dgm:spPr>
        <a:xfrm>
          <a:off x="2674093" y="1165427"/>
          <a:ext cx="1756739" cy="439184"/>
        </a:xfrm>
        <a:prstGeom prst="roundRect">
          <a:avLst/>
        </a:prstGeom>
      </dgm:spPr>
    </dgm:pt>
    <dgm:pt modelId="{DECA7EAF-1BEF-41A3-ABB3-5EAA3BAAF462}" type="pres">
      <dgm:prSet presAssocID="{882B9642-DB5D-4415-8141-174046543928}" presName="rootConnector" presStyleLbl="node3" presStyleIdx="3" presStyleCnt="11"/>
      <dgm:spPr/>
    </dgm:pt>
    <dgm:pt modelId="{D85C8B7E-C5E4-4E2B-A51E-8DED9E096F4F}" type="pres">
      <dgm:prSet presAssocID="{882B9642-DB5D-4415-8141-174046543928}" presName="hierChild4" presStyleCnt="0"/>
      <dgm:spPr/>
    </dgm:pt>
    <dgm:pt modelId="{9A795A8B-98A0-4E3A-8C63-BBCD9EC7B428}" type="pres">
      <dgm:prSet presAssocID="{882B9642-DB5D-4415-8141-174046543928}" presName="hierChild5" presStyleCnt="0"/>
      <dgm:spPr/>
    </dgm:pt>
    <dgm:pt modelId="{D978C072-8E92-43C4-91B3-F3E661B7ABAC}" type="pres">
      <dgm:prSet presAssocID="{FA1804DE-9856-4A08-B6E3-E8E7C1EC73C0}" presName="Name37" presStyleLbl="parChTrans1D3" presStyleIdx="4" presStyleCnt="11"/>
      <dgm:spPr/>
    </dgm:pt>
    <dgm:pt modelId="{4BE219A9-D29C-4EF0-AD63-17317A4642BE}" type="pres">
      <dgm:prSet presAssocID="{8B0EAEC7-B4D5-4CF1-85E4-FC7CBAB245A6}" presName="hierRoot2" presStyleCnt="0">
        <dgm:presLayoutVars>
          <dgm:hierBranch val="init"/>
        </dgm:presLayoutVars>
      </dgm:prSet>
      <dgm:spPr/>
    </dgm:pt>
    <dgm:pt modelId="{33E3FF0E-3075-4C97-9AB8-B35A81D99026}" type="pres">
      <dgm:prSet presAssocID="{8B0EAEC7-B4D5-4CF1-85E4-FC7CBAB245A6}" presName="rootComposite" presStyleCnt="0"/>
      <dgm:spPr/>
    </dgm:pt>
    <dgm:pt modelId="{19B89C79-DE41-4F48-9743-7325556D13A7}" type="pres">
      <dgm:prSet presAssocID="{8B0EAEC7-B4D5-4CF1-85E4-FC7CBAB245A6}" presName="rootText" presStyleLbl="node3" presStyleIdx="4" presStyleCnt="11" custScaleX="268674" custScaleY="134337">
        <dgm:presLayoutVars>
          <dgm:chPref val="3"/>
        </dgm:presLayoutVars>
      </dgm:prSet>
      <dgm:spPr>
        <a:xfrm>
          <a:off x="2674093" y="1741922"/>
          <a:ext cx="1756739" cy="439184"/>
        </a:xfrm>
        <a:prstGeom prst="roundRect">
          <a:avLst/>
        </a:prstGeom>
      </dgm:spPr>
    </dgm:pt>
    <dgm:pt modelId="{135572E7-D0A9-47F1-B57C-3842E7D4BA7A}" type="pres">
      <dgm:prSet presAssocID="{8B0EAEC7-B4D5-4CF1-85E4-FC7CBAB245A6}" presName="rootConnector" presStyleLbl="node3" presStyleIdx="4" presStyleCnt="11"/>
      <dgm:spPr/>
    </dgm:pt>
    <dgm:pt modelId="{E0086AA6-9892-483C-8BF3-8DFA11CB0C89}" type="pres">
      <dgm:prSet presAssocID="{8B0EAEC7-B4D5-4CF1-85E4-FC7CBAB245A6}" presName="hierChild4" presStyleCnt="0"/>
      <dgm:spPr/>
    </dgm:pt>
    <dgm:pt modelId="{294FCD5E-48DF-44D1-87AD-8120DD61C071}" type="pres">
      <dgm:prSet presAssocID="{8B0EAEC7-B4D5-4CF1-85E4-FC7CBAB245A6}" presName="hierChild5" presStyleCnt="0"/>
      <dgm:spPr/>
    </dgm:pt>
    <dgm:pt modelId="{8E487ED1-854B-4A52-9737-AAF07A5B6561}" type="pres">
      <dgm:prSet presAssocID="{3DA5B83C-D6D6-4F7C-810E-D00E25F2DA99}" presName="Name37" presStyleLbl="parChTrans1D3" presStyleIdx="5" presStyleCnt="11"/>
      <dgm:spPr/>
    </dgm:pt>
    <dgm:pt modelId="{0EDA9EF3-F649-4B52-AB88-688C9B52ADAD}" type="pres">
      <dgm:prSet presAssocID="{0202D3B0-F039-4A45-9B54-52DE61CC6EBF}" presName="hierRoot2" presStyleCnt="0">
        <dgm:presLayoutVars>
          <dgm:hierBranch val="init"/>
        </dgm:presLayoutVars>
      </dgm:prSet>
      <dgm:spPr/>
    </dgm:pt>
    <dgm:pt modelId="{B6A5BF6A-F825-4E87-9BF1-F12F0E1A2824}" type="pres">
      <dgm:prSet presAssocID="{0202D3B0-F039-4A45-9B54-52DE61CC6EBF}" presName="rootComposite" presStyleCnt="0"/>
      <dgm:spPr/>
    </dgm:pt>
    <dgm:pt modelId="{0E67771F-D6B3-42E0-A4EC-8EA8EA99163C}" type="pres">
      <dgm:prSet presAssocID="{0202D3B0-F039-4A45-9B54-52DE61CC6EBF}" presName="rootText" presStyleLbl="node3" presStyleIdx="5" presStyleCnt="11" custScaleX="268674" custScaleY="134337">
        <dgm:presLayoutVars>
          <dgm:chPref val="3"/>
        </dgm:presLayoutVars>
      </dgm:prSet>
      <dgm:spPr>
        <a:xfrm>
          <a:off x="2674093" y="2318416"/>
          <a:ext cx="1756739" cy="439184"/>
        </a:xfrm>
        <a:prstGeom prst="roundRect">
          <a:avLst/>
        </a:prstGeom>
      </dgm:spPr>
    </dgm:pt>
    <dgm:pt modelId="{56227AB4-9AF1-4700-B97A-335834EB032E}" type="pres">
      <dgm:prSet presAssocID="{0202D3B0-F039-4A45-9B54-52DE61CC6EBF}" presName="rootConnector" presStyleLbl="node3" presStyleIdx="5" presStyleCnt="11"/>
      <dgm:spPr/>
    </dgm:pt>
    <dgm:pt modelId="{5913F22F-50C4-401C-9266-A98924DA7048}" type="pres">
      <dgm:prSet presAssocID="{0202D3B0-F039-4A45-9B54-52DE61CC6EBF}" presName="hierChild4" presStyleCnt="0"/>
      <dgm:spPr/>
    </dgm:pt>
    <dgm:pt modelId="{2A7854A4-11CB-4163-A81B-CB4274046604}" type="pres">
      <dgm:prSet presAssocID="{0202D3B0-F039-4A45-9B54-52DE61CC6EBF}" presName="hierChild5" presStyleCnt="0"/>
      <dgm:spPr/>
    </dgm:pt>
    <dgm:pt modelId="{B9E18785-60C1-46A6-89DB-EFB0849FC9C4}" type="pres">
      <dgm:prSet presAssocID="{1007B6F3-05BC-4F7A-8E1A-37C08373F646}" presName="hierChild5" presStyleCnt="0"/>
      <dgm:spPr/>
    </dgm:pt>
    <dgm:pt modelId="{0D136685-5600-4E30-BED0-84E704D24193}" type="pres">
      <dgm:prSet presAssocID="{474A8C66-2F0D-4397-874A-DDCABFDC54EB}" presName="Name37" presStyleLbl="parChTrans1D2" presStyleIdx="2" presStyleCnt="4"/>
      <dgm:spPr/>
    </dgm:pt>
    <dgm:pt modelId="{646878FC-A1C4-4169-97C2-0F25682FDB8A}" type="pres">
      <dgm:prSet presAssocID="{F69D1FAD-E8C8-4443-9C53-33D08E3DE8CE}" presName="hierRoot2" presStyleCnt="0">
        <dgm:presLayoutVars>
          <dgm:hierBranch val="init"/>
        </dgm:presLayoutVars>
      </dgm:prSet>
      <dgm:spPr/>
    </dgm:pt>
    <dgm:pt modelId="{B1B56372-9E70-4A18-ABC7-31AC6F3A3149}" type="pres">
      <dgm:prSet presAssocID="{F69D1FAD-E8C8-4443-9C53-33D08E3DE8CE}" presName="rootComposite" presStyleCnt="0"/>
      <dgm:spPr/>
    </dgm:pt>
    <dgm:pt modelId="{F929D97E-86BE-4488-B496-35906E1F9CAE}" type="pres">
      <dgm:prSet presAssocID="{F69D1FAD-E8C8-4443-9C53-33D08E3DE8CE}" presName="rootText" presStyleLbl="node2" presStyleIdx="2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55BC7D-DAC9-4057-99DB-72B0147F93F2}" type="pres">
      <dgm:prSet presAssocID="{F69D1FAD-E8C8-4443-9C53-33D08E3DE8CE}" presName="rootConnector" presStyleLbl="node2" presStyleIdx="2" presStyleCnt="4"/>
      <dgm:spPr/>
    </dgm:pt>
    <dgm:pt modelId="{44A9F1B2-39FB-45A3-AB69-4CDFB5D6C1C0}" type="pres">
      <dgm:prSet presAssocID="{F69D1FAD-E8C8-4443-9C53-33D08E3DE8CE}" presName="hierChild4" presStyleCnt="0"/>
      <dgm:spPr/>
    </dgm:pt>
    <dgm:pt modelId="{3BF4E0A2-533F-46EF-B1EF-8466DEC47284}" type="pres">
      <dgm:prSet presAssocID="{7B0DE2BE-30B8-41A2-9742-9F7D501ABEE0}" presName="Name37" presStyleLbl="parChTrans1D3" presStyleIdx="6" presStyleCnt="11"/>
      <dgm:spPr/>
    </dgm:pt>
    <dgm:pt modelId="{DC2ABF01-CA2C-4A00-AEB8-54EB3DDBCB56}" type="pres">
      <dgm:prSet presAssocID="{4B850433-3650-48AA-859B-F06BE9D5D2A1}" presName="hierRoot2" presStyleCnt="0">
        <dgm:presLayoutVars>
          <dgm:hierBranch val="init"/>
        </dgm:presLayoutVars>
      </dgm:prSet>
      <dgm:spPr/>
    </dgm:pt>
    <dgm:pt modelId="{4DB6B53A-C791-4485-8973-ADD55BCD34BF}" type="pres">
      <dgm:prSet presAssocID="{4B850433-3650-48AA-859B-F06BE9D5D2A1}" presName="rootComposite" presStyleCnt="0"/>
      <dgm:spPr/>
    </dgm:pt>
    <dgm:pt modelId="{A53EE3FD-0868-455B-8BBA-76212B84AD2F}" type="pres">
      <dgm:prSet presAssocID="{4B850433-3650-48AA-859B-F06BE9D5D2A1}" presName="rootText" presStyleLbl="node3" presStyleIdx="6" presStyleCnt="11" custScaleX="268674" custScaleY="134337">
        <dgm:presLayoutVars>
          <dgm:chPref val="3"/>
        </dgm:presLayoutVars>
      </dgm:prSet>
      <dgm:spPr>
        <a:xfrm>
          <a:off x="4839087" y="1165427"/>
          <a:ext cx="1756739" cy="439184"/>
        </a:xfrm>
        <a:prstGeom prst="roundRect">
          <a:avLst/>
        </a:prstGeom>
      </dgm:spPr>
    </dgm:pt>
    <dgm:pt modelId="{C24ACD5D-4A90-452B-B807-DD2ACB3F82D7}" type="pres">
      <dgm:prSet presAssocID="{4B850433-3650-48AA-859B-F06BE9D5D2A1}" presName="rootConnector" presStyleLbl="node3" presStyleIdx="6" presStyleCnt="11"/>
      <dgm:spPr/>
    </dgm:pt>
    <dgm:pt modelId="{E04CFBD4-1794-4811-9482-8593FC119F23}" type="pres">
      <dgm:prSet presAssocID="{4B850433-3650-48AA-859B-F06BE9D5D2A1}" presName="hierChild4" presStyleCnt="0"/>
      <dgm:spPr/>
    </dgm:pt>
    <dgm:pt modelId="{78B4F3FE-F575-4231-B68B-11F8300430B1}" type="pres">
      <dgm:prSet presAssocID="{4B850433-3650-48AA-859B-F06BE9D5D2A1}" presName="hierChild5" presStyleCnt="0"/>
      <dgm:spPr/>
    </dgm:pt>
    <dgm:pt modelId="{FD2BD50E-D384-49FE-BB00-71E6AEEEE500}" type="pres">
      <dgm:prSet presAssocID="{A3C9C18B-9E10-4A65-87A8-C6D2F29C4622}" presName="Name37" presStyleLbl="parChTrans1D3" presStyleIdx="7" presStyleCnt="11"/>
      <dgm:spPr/>
    </dgm:pt>
    <dgm:pt modelId="{C2D4CFC6-EDEA-4994-85C4-82C320A7C677}" type="pres">
      <dgm:prSet presAssocID="{BAD477F3-63B5-42EE-B3B5-05689244E517}" presName="hierRoot2" presStyleCnt="0">
        <dgm:presLayoutVars>
          <dgm:hierBranch val="init"/>
        </dgm:presLayoutVars>
      </dgm:prSet>
      <dgm:spPr/>
    </dgm:pt>
    <dgm:pt modelId="{D088533D-A6D4-42DD-8549-CE6D6612641C}" type="pres">
      <dgm:prSet presAssocID="{BAD477F3-63B5-42EE-B3B5-05689244E517}" presName="rootComposite" presStyleCnt="0"/>
      <dgm:spPr/>
    </dgm:pt>
    <dgm:pt modelId="{1BB92FE5-CE5A-41FE-B673-C4A4F62BF5AB}" type="pres">
      <dgm:prSet presAssocID="{BAD477F3-63B5-42EE-B3B5-05689244E517}" presName="rootText" presStyleLbl="node3" presStyleIdx="7" presStyleCnt="11" custScaleX="268674" custScaleY="134337">
        <dgm:presLayoutVars>
          <dgm:chPref val="3"/>
        </dgm:presLayoutVars>
      </dgm:prSet>
      <dgm:spPr>
        <a:xfrm>
          <a:off x="4839087" y="1741922"/>
          <a:ext cx="1756739" cy="439184"/>
        </a:xfrm>
        <a:prstGeom prst="roundRect">
          <a:avLst/>
        </a:prstGeom>
      </dgm:spPr>
    </dgm:pt>
    <dgm:pt modelId="{C55C49B2-409B-4525-9D61-0D463E355467}" type="pres">
      <dgm:prSet presAssocID="{BAD477F3-63B5-42EE-B3B5-05689244E517}" presName="rootConnector" presStyleLbl="node3" presStyleIdx="7" presStyleCnt="11"/>
      <dgm:spPr/>
    </dgm:pt>
    <dgm:pt modelId="{01E9F9E7-41C4-4196-B067-4AA632BDE21D}" type="pres">
      <dgm:prSet presAssocID="{BAD477F3-63B5-42EE-B3B5-05689244E517}" presName="hierChild4" presStyleCnt="0"/>
      <dgm:spPr/>
    </dgm:pt>
    <dgm:pt modelId="{16BFCAC6-DC2E-45FA-B317-635DF3BD8F62}" type="pres">
      <dgm:prSet presAssocID="{BAD477F3-63B5-42EE-B3B5-05689244E517}" presName="hierChild5" presStyleCnt="0"/>
      <dgm:spPr/>
    </dgm:pt>
    <dgm:pt modelId="{FEA01142-F62E-4F09-955A-6EF0C7069331}" type="pres">
      <dgm:prSet presAssocID="{9190B60C-4242-4AB8-BE76-B364159818C9}" presName="Name37" presStyleLbl="parChTrans1D3" presStyleIdx="8" presStyleCnt="11"/>
      <dgm:spPr/>
    </dgm:pt>
    <dgm:pt modelId="{F53AEB9B-37A0-47A7-9844-7F512AC66904}" type="pres">
      <dgm:prSet presAssocID="{367DA472-A6B5-4A65-AA92-ABD67FD1CC00}" presName="hierRoot2" presStyleCnt="0">
        <dgm:presLayoutVars>
          <dgm:hierBranch val="init"/>
        </dgm:presLayoutVars>
      </dgm:prSet>
      <dgm:spPr/>
    </dgm:pt>
    <dgm:pt modelId="{5BDCB8CB-9218-4565-AD2A-723662D72680}" type="pres">
      <dgm:prSet presAssocID="{367DA472-A6B5-4A65-AA92-ABD67FD1CC00}" presName="rootComposite" presStyleCnt="0"/>
      <dgm:spPr/>
    </dgm:pt>
    <dgm:pt modelId="{B509DCB6-92BF-408D-9332-348533AC8AE4}" type="pres">
      <dgm:prSet presAssocID="{367DA472-A6B5-4A65-AA92-ABD67FD1CC00}" presName="rootText" presStyleLbl="node3" presStyleIdx="8" presStyleCnt="11" custScaleX="268674" custScaleY="134337">
        <dgm:presLayoutVars>
          <dgm:chPref val="3"/>
        </dgm:presLayoutVars>
      </dgm:prSet>
      <dgm:spPr>
        <a:xfrm>
          <a:off x="4839087" y="2318416"/>
          <a:ext cx="1756739" cy="439184"/>
        </a:xfrm>
        <a:prstGeom prst="roundRect">
          <a:avLst/>
        </a:prstGeom>
      </dgm:spPr>
    </dgm:pt>
    <dgm:pt modelId="{260E8905-E423-4F36-BAD2-9471CD368CFA}" type="pres">
      <dgm:prSet presAssocID="{367DA472-A6B5-4A65-AA92-ABD67FD1CC00}" presName="rootConnector" presStyleLbl="node3" presStyleIdx="8" presStyleCnt="11"/>
      <dgm:spPr/>
    </dgm:pt>
    <dgm:pt modelId="{5477AFEF-68F3-4E40-A383-B71021CC1C12}" type="pres">
      <dgm:prSet presAssocID="{367DA472-A6B5-4A65-AA92-ABD67FD1CC00}" presName="hierChild4" presStyleCnt="0"/>
      <dgm:spPr/>
    </dgm:pt>
    <dgm:pt modelId="{C9993A71-F16C-4C0F-90DE-5F6B5DE2D2C9}" type="pres">
      <dgm:prSet presAssocID="{367DA472-A6B5-4A65-AA92-ABD67FD1CC00}" presName="hierChild5" presStyleCnt="0"/>
      <dgm:spPr/>
    </dgm:pt>
    <dgm:pt modelId="{24437570-CAF3-40CD-AC31-3F36F640E640}" type="pres">
      <dgm:prSet presAssocID="{F69D1FAD-E8C8-4443-9C53-33D08E3DE8CE}" presName="hierChild5" presStyleCnt="0"/>
      <dgm:spPr/>
    </dgm:pt>
    <dgm:pt modelId="{93F63975-AD3A-48CE-8A6A-39CA9BB236AA}" type="pres">
      <dgm:prSet presAssocID="{759A86B6-2F79-4936-8581-07D0B45049CD}" presName="Name37" presStyleLbl="parChTrans1D2" presStyleIdx="3" presStyleCnt="4"/>
      <dgm:spPr/>
    </dgm:pt>
    <dgm:pt modelId="{49325649-D094-4BD1-A2F7-B0C137CD3783}" type="pres">
      <dgm:prSet presAssocID="{ED054F05-DECF-448A-832E-B98612B081A1}" presName="hierRoot2" presStyleCnt="0">
        <dgm:presLayoutVars>
          <dgm:hierBranch val="init"/>
        </dgm:presLayoutVars>
      </dgm:prSet>
      <dgm:spPr/>
    </dgm:pt>
    <dgm:pt modelId="{70789CCD-8B0C-49CD-B4B8-0C065B45323F}" type="pres">
      <dgm:prSet presAssocID="{ED054F05-DECF-448A-832E-B98612B081A1}" presName="rootComposite" presStyleCnt="0"/>
      <dgm:spPr/>
    </dgm:pt>
    <dgm:pt modelId="{0A209B85-31FA-4E41-BE45-2EB0F430555C}" type="pres">
      <dgm:prSet presAssocID="{ED054F05-DECF-448A-832E-B98612B081A1}" presName="rootText" presStyleLbl="node2" presStyleIdx="3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93AA080D-57AE-4E81-958D-F9A1D38E6CF3}" type="pres">
      <dgm:prSet presAssocID="{ED054F05-DECF-448A-832E-B98612B081A1}" presName="rootConnector" presStyleLbl="node2" presStyleIdx="3" presStyleCnt="4"/>
      <dgm:spPr/>
    </dgm:pt>
    <dgm:pt modelId="{5B8EF062-37A5-49E6-A886-57B55A36AD80}" type="pres">
      <dgm:prSet presAssocID="{ED054F05-DECF-448A-832E-B98612B081A1}" presName="hierChild4" presStyleCnt="0"/>
      <dgm:spPr/>
    </dgm:pt>
    <dgm:pt modelId="{07890C3C-0C34-43C6-B53A-43502EC7872E}" type="pres">
      <dgm:prSet presAssocID="{E0E28DCF-A5AB-4C9B-8D6E-5C57C3D6B80D}" presName="Name37" presStyleLbl="parChTrans1D3" presStyleIdx="9" presStyleCnt="11"/>
      <dgm:spPr/>
    </dgm:pt>
    <dgm:pt modelId="{E81F8071-148A-4763-8EFF-7359EBC8DE40}" type="pres">
      <dgm:prSet presAssocID="{728EF172-F1A2-4630-ACBD-09151A8D42E0}" presName="hierRoot2" presStyleCnt="0">
        <dgm:presLayoutVars>
          <dgm:hierBranch val="init"/>
        </dgm:presLayoutVars>
      </dgm:prSet>
      <dgm:spPr/>
    </dgm:pt>
    <dgm:pt modelId="{FDD95A59-FDE0-4E38-BD3F-1AEE9AAEC663}" type="pres">
      <dgm:prSet presAssocID="{728EF172-F1A2-4630-ACBD-09151A8D42E0}" presName="rootComposite" presStyleCnt="0"/>
      <dgm:spPr/>
    </dgm:pt>
    <dgm:pt modelId="{25CBE439-FF8E-48F7-B5EE-F025139ED159}" type="pres">
      <dgm:prSet presAssocID="{728EF172-F1A2-4630-ACBD-09151A8D42E0}" presName="rootText" presStyleLbl="node3" presStyleIdx="9" presStyleCnt="11" custScaleX="268674" custScaleY="134337">
        <dgm:presLayoutVars>
          <dgm:chPref val="3"/>
        </dgm:presLayoutVars>
      </dgm:prSet>
      <dgm:spPr>
        <a:xfrm>
          <a:off x="7004081" y="1165427"/>
          <a:ext cx="1756739" cy="439184"/>
        </a:xfrm>
        <a:prstGeom prst="roundRect">
          <a:avLst/>
        </a:prstGeom>
      </dgm:spPr>
    </dgm:pt>
    <dgm:pt modelId="{EA9065D7-9704-4C0A-8D0D-77EE2F0AF926}" type="pres">
      <dgm:prSet presAssocID="{728EF172-F1A2-4630-ACBD-09151A8D42E0}" presName="rootConnector" presStyleLbl="node3" presStyleIdx="9" presStyleCnt="11"/>
      <dgm:spPr/>
    </dgm:pt>
    <dgm:pt modelId="{D70D0C17-EA0F-4EA2-88B8-05912BDCDDF2}" type="pres">
      <dgm:prSet presAssocID="{728EF172-F1A2-4630-ACBD-09151A8D42E0}" presName="hierChild4" presStyleCnt="0"/>
      <dgm:spPr/>
    </dgm:pt>
    <dgm:pt modelId="{7580CB60-37C3-4922-B670-CB79D70669CB}" type="pres">
      <dgm:prSet presAssocID="{728EF172-F1A2-4630-ACBD-09151A8D42E0}" presName="hierChild5" presStyleCnt="0"/>
      <dgm:spPr/>
    </dgm:pt>
    <dgm:pt modelId="{0682577A-DD48-4F68-A560-24C92A32267A}" type="pres">
      <dgm:prSet presAssocID="{CA170EC8-BD45-473C-9A48-D8E4B862E170}" presName="Name37" presStyleLbl="parChTrans1D3" presStyleIdx="10" presStyleCnt="11"/>
      <dgm:spPr/>
    </dgm:pt>
    <dgm:pt modelId="{F807C59A-718A-4B6B-95A4-4DE71D9B58EF}" type="pres">
      <dgm:prSet presAssocID="{66822BD2-E0EA-4B23-8515-68CA5DAF36F2}" presName="hierRoot2" presStyleCnt="0">
        <dgm:presLayoutVars>
          <dgm:hierBranch val="init"/>
        </dgm:presLayoutVars>
      </dgm:prSet>
      <dgm:spPr/>
    </dgm:pt>
    <dgm:pt modelId="{CCA4A9ED-1E46-487D-A4EC-7A1E9512863F}" type="pres">
      <dgm:prSet presAssocID="{66822BD2-E0EA-4B23-8515-68CA5DAF36F2}" presName="rootComposite" presStyleCnt="0"/>
      <dgm:spPr/>
    </dgm:pt>
    <dgm:pt modelId="{340D405E-7980-48FF-92E8-4B1BA0904690}" type="pres">
      <dgm:prSet presAssocID="{66822BD2-E0EA-4B23-8515-68CA5DAF36F2}" presName="rootText" presStyleLbl="node3" presStyleIdx="10" presStyleCnt="11" custScaleX="268674" custScaleY="134337">
        <dgm:presLayoutVars>
          <dgm:chPref val="3"/>
        </dgm:presLayoutVars>
      </dgm:prSet>
      <dgm:spPr>
        <a:xfrm>
          <a:off x="7004081" y="1741922"/>
          <a:ext cx="1756739" cy="439184"/>
        </a:xfrm>
        <a:prstGeom prst="roundRect">
          <a:avLst/>
        </a:prstGeom>
      </dgm:spPr>
    </dgm:pt>
    <dgm:pt modelId="{8CF0BE38-64A4-48F7-91EA-1C5DF9DE28BA}" type="pres">
      <dgm:prSet presAssocID="{66822BD2-E0EA-4B23-8515-68CA5DAF36F2}" presName="rootConnector" presStyleLbl="node3" presStyleIdx="10" presStyleCnt="11"/>
      <dgm:spPr/>
    </dgm:pt>
    <dgm:pt modelId="{29A25B00-B975-4C02-86E5-474E22CEC8B6}" type="pres">
      <dgm:prSet presAssocID="{66822BD2-E0EA-4B23-8515-68CA5DAF36F2}" presName="hierChild4" presStyleCnt="0"/>
      <dgm:spPr/>
    </dgm:pt>
    <dgm:pt modelId="{61E0D8D8-696B-4694-AB78-FAF9F716517A}" type="pres">
      <dgm:prSet presAssocID="{66822BD2-E0EA-4B23-8515-68CA5DAF36F2}" presName="hierChild5" presStyleCnt="0"/>
      <dgm:spPr/>
    </dgm:pt>
    <dgm:pt modelId="{91D2895F-3E53-4BC7-9AB0-1076D1CBD59C}" type="pres">
      <dgm:prSet presAssocID="{ED054F05-DECF-448A-832E-B98612B081A1}" presName="hierChild5" presStyleCnt="0"/>
      <dgm:spPr/>
    </dgm:pt>
    <dgm:pt modelId="{3ABEBA5C-E863-4AB9-8F74-BB798A86922E}" type="pres">
      <dgm:prSet presAssocID="{3D4AA21C-8618-4D88-ADD2-82497DC1C3C8}" presName="hierChild3" presStyleCnt="0"/>
      <dgm:spPr/>
    </dgm:pt>
  </dgm:ptLst>
  <dgm:cxnLst>
    <dgm:cxn modelId="{6ED3C603-97B0-4752-B216-DC9E87E399A5}" srcId="{1007B6F3-05BC-4F7A-8E1A-37C08373F646}" destId="{8B0EAEC7-B4D5-4CF1-85E4-FC7CBAB245A6}" srcOrd="1" destOrd="0" parTransId="{FA1804DE-9856-4A08-B6E3-E8E7C1EC73C0}" sibTransId="{00DA78FB-7979-4ADC-A1E7-89CD20DF37F4}"/>
    <dgm:cxn modelId="{FD164005-3AE0-4D4C-89CF-4EA99F5863A7}" type="presOf" srcId="{4ECF0464-F6E6-4CE3-8866-0ED853614CC9}" destId="{E3C07E89-C63D-4449-9138-B5EE3042C7A8}" srcOrd="0" destOrd="0" presId="urn:microsoft.com/office/officeart/2005/8/layout/orgChart1"/>
    <dgm:cxn modelId="{0A6B2F0A-A50E-4DBE-873E-26B534D57C42}" type="presOf" srcId="{882B9642-DB5D-4415-8141-174046543928}" destId="{DECA7EAF-1BEF-41A3-ABB3-5EAA3BAAF462}" srcOrd="1" destOrd="0" presId="urn:microsoft.com/office/officeart/2005/8/layout/orgChart1"/>
    <dgm:cxn modelId="{A3B08D0A-F9E4-450E-BD9B-29BD70A3F82F}" type="presOf" srcId="{CA170EC8-BD45-473C-9A48-D8E4B862E170}" destId="{0682577A-DD48-4F68-A560-24C92A32267A}" srcOrd="0" destOrd="0" presId="urn:microsoft.com/office/officeart/2005/8/layout/orgChart1"/>
    <dgm:cxn modelId="{F8E8200E-6303-4DEE-AC38-48932013E859}" type="presOf" srcId="{9190B60C-4242-4AB8-BE76-B364159818C9}" destId="{FEA01142-F62E-4F09-955A-6EF0C7069331}" srcOrd="0" destOrd="0" presId="urn:microsoft.com/office/officeart/2005/8/layout/orgChart1"/>
    <dgm:cxn modelId="{4381B015-5A9A-4C3D-BB15-FA8535434B06}" type="presOf" srcId="{2FFF8319-69F4-486B-882F-5B37384F1260}" destId="{D53A79D7-A77E-459E-B55D-EB99EE7432DA}" srcOrd="1" destOrd="0" presId="urn:microsoft.com/office/officeart/2005/8/layout/orgChart1"/>
    <dgm:cxn modelId="{7CEEFE1A-593C-462C-9519-79F14214D9BF}" type="presOf" srcId="{4B850433-3650-48AA-859B-F06BE9D5D2A1}" destId="{A53EE3FD-0868-455B-8BBA-76212B84AD2F}" srcOrd="0" destOrd="0" presId="urn:microsoft.com/office/officeart/2005/8/layout/orgChart1"/>
    <dgm:cxn modelId="{426D991C-BC7B-4286-A3EF-54B92D418A56}" srcId="{3D4AA21C-8618-4D88-ADD2-82497DC1C3C8}" destId="{ED054F05-DECF-448A-832E-B98612B081A1}" srcOrd="3" destOrd="0" parTransId="{759A86B6-2F79-4936-8581-07D0B45049CD}" sibTransId="{5E0090F4-BA9F-4822-A5B4-2C1E9396E774}"/>
    <dgm:cxn modelId="{2A34B621-429B-41E7-8116-28E63095749A}" srcId="{A5AE3037-5CDE-48B1-980D-BF755907F721}" destId="{5CAD7F8E-2D4B-494E-A9B3-8662F2F1C876}" srcOrd="2" destOrd="0" parTransId="{A716377B-5CE5-4BB0-887C-C66ADEDEFCD0}" sibTransId="{393E730C-51B3-4EB3-A4BB-C31B5045F139}"/>
    <dgm:cxn modelId="{9B2D7A24-DB78-4C8D-88B7-D2C0CE2B8877}" srcId="{F69D1FAD-E8C8-4443-9C53-33D08E3DE8CE}" destId="{BAD477F3-63B5-42EE-B3B5-05689244E517}" srcOrd="1" destOrd="0" parTransId="{A3C9C18B-9E10-4A65-87A8-C6D2F29C4622}" sibTransId="{81F2F3B1-1E4B-4A1D-937B-28A35B243ECF}"/>
    <dgm:cxn modelId="{6FF25B28-8B4A-449D-8C3D-C563B932995C}" type="presOf" srcId="{0202D3B0-F039-4A45-9B54-52DE61CC6EBF}" destId="{0E67771F-D6B3-42E0-A4EC-8EA8EA99163C}" srcOrd="0" destOrd="0" presId="urn:microsoft.com/office/officeart/2005/8/layout/orgChart1"/>
    <dgm:cxn modelId="{ADA8CB29-3110-42D9-AEFD-FB30CA9FB48D}" type="presOf" srcId="{3EE6172B-B803-440C-92DD-765D3BC6ACDB}" destId="{24BF0753-546B-46C2-86A1-B85748862C03}" srcOrd="0" destOrd="0" presId="urn:microsoft.com/office/officeart/2005/8/layout/orgChart1"/>
    <dgm:cxn modelId="{C2917830-CC8A-4650-96FC-724CBA803B91}" type="presOf" srcId="{882B9642-DB5D-4415-8141-174046543928}" destId="{6A43EABD-03AA-415F-BE3A-2DD31AB048C5}" srcOrd="0" destOrd="0" presId="urn:microsoft.com/office/officeart/2005/8/layout/orgChart1"/>
    <dgm:cxn modelId="{47E26532-67C1-4B9B-A634-EEB885B6C3DA}" type="presOf" srcId="{474A8C66-2F0D-4397-874A-DDCABFDC54EB}" destId="{0D136685-5600-4E30-BED0-84E704D24193}" srcOrd="0" destOrd="0" presId="urn:microsoft.com/office/officeart/2005/8/layout/orgChart1"/>
    <dgm:cxn modelId="{4778E934-AAFF-4DAA-9DBE-8D9EBCA345D3}" type="presOf" srcId="{F69D1FAD-E8C8-4443-9C53-33D08E3DE8CE}" destId="{F929D97E-86BE-4488-B496-35906E1F9CAE}" srcOrd="0" destOrd="0" presId="urn:microsoft.com/office/officeart/2005/8/layout/orgChart1"/>
    <dgm:cxn modelId="{A2F57D38-6629-4F0D-A1E5-06908D02D415}" type="presOf" srcId="{F69D1FAD-E8C8-4443-9C53-33D08E3DE8CE}" destId="{B955BC7D-DAC9-4057-99DB-72B0147F93F2}" srcOrd="1" destOrd="0" presId="urn:microsoft.com/office/officeart/2005/8/layout/orgChart1"/>
    <dgm:cxn modelId="{7C467C3C-DA82-4DA1-9166-4291A3425A3C}" type="presOf" srcId="{1007B6F3-05BC-4F7A-8E1A-37C08373F646}" destId="{B971E225-D9F5-478B-8A95-DB5AA24C6662}" srcOrd="1" destOrd="0" presId="urn:microsoft.com/office/officeart/2005/8/layout/orgChart1"/>
    <dgm:cxn modelId="{1EE1ED3E-8431-4CEB-B210-F3FA85AEBEEF}" type="presOf" srcId="{4B850433-3650-48AA-859B-F06BE9D5D2A1}" destId="{C24ACD5D-4A90-452B-B807-DD2ACB3F82D7}" srcOrd="1" destOrd="0" presId="urn:microsoft.com/office/officeart/2005/8/layout/orgChart1"/>
    <dgm:cxn modelId="{11606F5D-72AE-4B60-93DC-5F311426122C}" type="presOf" srcId="{1007B6F3-05BC-4F7A-8E1A-37C08373F646}" destId="{1BE2E877-A98C-4F5E-B162-7E381A985946}" srcOrd="0" destOrd="0" presId="urn:microsoft.com/office/officeart/2005/8/layout/orgChart1"/>
    <dgm:cxn modelId="{CFCB7A42-AF82-45F9-9001-D0C2BA0C1D68}" srcId="{F69D1FAD-E8C8-4443-9C53-33D08E3DE8CE}" destId="{367DA472-A6B5-4A65-AA92-ABD67FD1CC00}" srcOrd="2" destOrd="0" parTransId="{9190B60C-4242-4AB8-BE76-B364159818C9}" sibTransId="{15DB7952-266A-46BB-A9FF-6186DD342E36}"/>
    <dgm:cxn modelId="{57DC6863-7B8D-4255-A91E-13AB24FFDBCA}" type="presOf" srcId="{A5AE3037-5CDE-48B1-980D-BF755907F721}" destId="{6280D6AE-52C6-48FA-A310-9B841171A626}" srcOrd="1" destOrd="0" presId="urn:microsoft.com/office/officeart/2005/8/layout/orgChart1"/>
    <dgm:cxn modelId="{9462EE48-C752-4738-8121-7C5F5D8E3EA9}" srcId="{1007B6F3-05BC-4F7A-8E1A-37C08373F646}" destId="{0202D3B0-F039-4A45-9B54-52DE61CC6EBF}" srcOrd="2" destOrd="0" parTransId="{3DA5B83C-D6D6-4F7C-810E-D00E25F2DA99}" sibTransId="{B9F88689-25EB-4604-9BE4-089FAC838E94}"/>
    <dgm:cxn modelId="{5E6F4D49-0E13-4B7D-A485-A1B48DFB85C7}" type="presOf" srcId="{5CAD7F8E-2D4B-494E-A9B3-8662F2F1C876}" destId="{669661FF-25DD-4243-AB62-68FDBEE0DB7C}" srcOrd="1" destOrd="0" presId="urn:microsoft.com/office/officeart/2005/8/layout/orgChart1"/>
    <dgm:cxn modelId="{BE4A0A6D-A8E9-4536-8DC9-40AC04BA8BC1}" type="presOf" srcId="{F56A11B0-F829-4403-B03B-66574A081A1D}" destId="{F512030C-FBC5-4D3B-A89E-F874314E7A02}" srcOrd="1" destOrd="0" presId="urn:microsoft.com/office/officeart/2005/8/layout/orgChart1"/>
    <dgm:cxn modelId="{AD861E6E-30BC-4B91-8917-8CA0A2119A1D}" type="presOf" srcId="{BAD477F3-63B5-42EE-B3B5-05689244E517}" destId="{1BB92FE5-CE5A-41FE-B673-C4A4F62BF5AB}" srcOrd="0" destOrd="0" presId="urn:microsoft.com/office/officeart/2005/8/layout/orgChart1"/>
    <dgm:cxn modelId="{63B51D50-52CA-4E5F-B004-BA5FF7D5A70A}" type="presOf" srcId="{2FFF8319-69F4-486B-882F-5B37384F1260}" destId="{16466F66-21BE-440C-AFE1-27401EFCD165}" srcOrd="0" destOrd="0" presId="urn:microsoft.com/office/officeart/2005/8/layout/orgChart1"/>
    <dgm:cxn modelId="{0992BD51-A0AE-4CEC-9BB8-0670A828A69C}" type="presOf" srcId="{E2EA3DBF-0B05-4BE9-80CF-CD8065633172}" destId="{98DD77B9-6508-4827-9493-60FB472DE478}" srcOrd="0" destOrd="0" presId="urn:microsoft.com/office/officeart/2005/8/layout/orgChart1"/>
    <dgm:cxn modelId="{348ADE71-4DE7-4FC4-8AD4-2C3B295510A4}" srcId="{A5AE3037-5CDE-48B1-980D-BF755907F721}" destId="{F56A11B0-F829-4403-B03B-66574A081A1D}" srcOrd="0" destOrd="0" parTransId="{3EE6172B-B803-440C-92DD-765D3BC6ACDB}" sibTransId="{1795EB77-CC6C-4AC9-AEB9-E8649F4A642D}"/>
    <dgm:cxn modelId="{A8CE5772-9349-42E6-A708-62E57BAA0D22}" type="presOf" srcId="{1768B429-B295-4E12-A4E5-2959760A26BB}" destId="{FE6A734C-CD98-41BA-B25A-1C4D4AE8317A}" srcOrd="0" destOrd="0" presId="urn:microsoft.com/office/officeart/2005/8/layout/orgChart1"/>
    <dgm:cxn modelId="{5E97D352-E701-45B2-AC47-7FC0773CA41F}" srcId="{F69D1FAD-E8C8-4443-9C53-33D08E3DE8CE}" destId="{4B850433-3650-48AA-859B-F06BE9D5D2A1}" srcOrd="0" destOrd="0" parTransId="{7B0DE2BE-30B8-41A2-9742-9F7D501ABEE0}" sibTransId="{10704553-64AA-4B37-B0EC-C2F455ECB4C5}"/>
    <dgm:cxn modelId="{D7F22C73-C384-416C-8402-4CED0575F3A4}" type="presOf" srcId="{A5AE3037-5CDE-48B1-980D-BF755907F721}" destId="{42D1E0BE-354F-4E3C-8806-1977ECF66EA1}" srcOrd="0" destOrd="0" presId="urn:microsoft.com/office/officeart/2005/8/layout/orgChart1"/>
    <dgm:cxn modelId="{51015C53-54FB-47EC-9B3E-9C37C81D3C33}" type="presOf" srcId="{367DA472-A6B5-4A65-AA92-ABD67FD1CC00}" destId="{B509DCB6-92BF-408D-9332-348533AC8AE4}" srcOrd="0" destOrd="0" presId="urn:microsoft.com/office/officeart/2005/8/layout/orgChart1"/>
    <dgm:cxn modelId="{95CA4473-4507-4D0E-AD48-2EA663AB6E46}" type="presOf" srcId="{728EF172-F1A2-4630-ACBD-09151A8D42E0}" destId="{25CBE439-FF8E-48F7-B5EE-F025139ED159}" srcOrd="0" destOrd="0" presId="urn:microsoft.com/office/officeart/2005/8/layout/orgChart1"/>
    <dgm:cxn modelId="{058BF573-CF72-49AE-A72A-A02138CB8FFC}" type="presOf" srcId="{FA1804DE-9856-4A08-B6E3-E8E7C1EC73C0}" destId="{D978C072-8E92-43C4-91B3-F3E661B7ABAC}" srcOrd="0" destOrd="0" presId="urn:microsoft.com/office/officeart/2005/8/layout/orgChart1"/>
    <dgm:cxn modelId="{26035A75-A7B8-481A-9B7C-A1DD774E82AB}" srcId="{1007B6F3-05BC-4F7A-8E1A-37C08373F646}" destId="{882B9642-DB5D-4415-8141-174046543928}" srcOrd="0" destOrd="0" parTransId="{1768B429-B295-4E12-A4E5-2959760A26BB}" sibTransId="{CEF1BA8D-8962-4916-A848-7A69DE1F430D}"/>
    <dgm:cxn modelId="{B925A275-F9A9-464C-A82D-BEC72209DAB3}" type="presOf" srcId="{8B0EAEC7-B4D5-4CF1-85E4-FC7CBAB245A6}" destId="{19B89C79-DE41-4F48-9743-7325556D13A7}" srcOrd="0" destOrd="0" presId="urn:microsoft.com/office/officeart/2005/8/layout/orgChart1"/>
    <dgm:cxn modelId="{8EB18B56-0FF5-4913-838C-F59B1C48F799}" type="presOf" srcId="{66822BD2-E0EA-4B23-8515-68CA5DAF36F2}" destId="{340D405E-7980-48FF-92E8-4B1BA0904690}" srcOrd="0" destOrd="0" presId="urn:microsoft.com/office/officeart/2005/8/layout/orgChart1"/>
    <dgm:cxn modelId="{D8C6AE59-B514-4E49-B886-5105775305CC}" type="presOf" srcId="{BAD477F3-63B5-42EE-B3B5-05689244E517}" destId="{C55C49B2-409B-4525-9D61-0D463E355467}" srcOrd="1" destOrd="0" presId="urn:microsoft.com/office/officeart/2005/8/layout/orgChart1"/>
    <dgm:cxn modelId="{D691947F-83DF-42ED-92C7-3DB7E354FEC7}" type="presOf" srcId="{0202D3B0-F039-4A45-9B54-52DE61CC6EBF}" destId="{56227AB4-9AF1-4700-B97A-335834EB032E}" srcOrd="1" destOrd="0" presId="urn:microsoft.com/office/officeart/2005/8/layout/orgChart1"/>
    <dgm:cxn modelId="{204D9380-A8FB-4AEE-9320-ABE20AB8D9C3}" type="presOf" srcId="{3D4AA21C-8618-4D88-ADD2-82497DC1C3C8}" destId="{C9906B2A-6D0D-4B97-86E9-67AB72BB51C3}" srcOrd="0" destOrd="0" presId="urn:microsoft.com/office/officeart/2005/8/layout/orgChart1"/>
    <dgm:cxn modelId="{F88EC982-2F55-4262-B195-28979D5D81EA}" type="presOf" srcId="{3DA5B83C-D6D6-4F7C-810E-D00E25F2DA99}" destId="{8E487ED1-854B-4A52-9737-AAF07A5B6561}" srcOrd="0" destOrd="0" presId="urn:microsoft.com/office/officeart/2005/8/layout/orgChart1"/>
    <dgm:cxn modelId="{1D5E9889-F8A7-456A-8743-9102DDFBADFA}" type="presOf" srcId="{367DA472-A6B5-4A65-AA92-ABD67FD1CC00}" destId="{260E8905-E423-4F36-BAD2-9471CD368CFA}" srcOrd="1" destOrd="0" presId="urn:microsoft.com/office/officeart/2005/8/layout/orgChart1"/>
    <dgm:cxn modelId="{274C438A-3C87-4F83-B4D5-19F903E6094D}" type="presOf" srcId="{DC323120-D202-4A8E-953D-322761F16AE2}" destId="{F92DD1E1-B9A1-46FB-97E4-955B61300390}" srcOrd="0" destOrd="0" presId="urn:microsoft.com/office/officeart/2005/8/layout/orgChart1"/>
    <dgm:cxn modelId="{B9E5FE8A-9065-453B-89A8-EA26ACF8C886}" type="presOf" srcId="{728EF172-F1A2-4630-ACBD-09151A8D42E0}" destId="{EA9065D7-9704-4C0A-8D0D-77EE2F0AF926}" srcOrd="1" destOrd="0" presId="urn:microsoft.com/office/officeart/2005/8/layout/orgChart1"/>
    <dgm:cxn modelId="{FCB5A58B-E24A-469E-A23E-5C47ED6D1DBE}" srcId="{ED054F05-DECF-448A-832E-B98612B081A1}" destId="{66822BD2-E0EA-4B23-8515-68CA5DAF36F2}" srcOrd="1" destOrd="0" parTransId="{CA170EC8-BD45-473C-9A48-D8E4B862E170}" sibTransId="{9E76F400-F081-40C5-B061-15C7F717FAD8}"/>
    <dgm:cxn modelId="{29621792-B578-4565-B956-BF34C6A2DA21}" type="presOf" srcId="{7B0DE2BE-30B8-41A2-9742-9F7D501ABEE0}" destId="{3BF4E0A2-533F-46EF-B1EF-8466DEC47284}" srcOrd="0" destOrd="0" presId="urn:microsoft.com/office/officeart/2005/8/layout/orgChart1"/>
    <dgm:cxn modelId="{668BA597-DDEE-4B67-B449-41F893AFC336}" type="presOf" srcId="{E0E28DCF-A5AB-4C9B-8D6E-5C57C3D6B80D}" destId="{07890C3C-0C34-43C6-B53A-43502EC7872E}" srcOrd="0" destOrd="0" presId="urn:microsoft.com/office/officeart/2005/8/layout/orgChart1"/>
    <dgm:cxn modelId="{574395A3-1FFD-404B-9EBD-795AC6B1F259}" type="presOf" srcId="{ED054F05-DECF-448A-832E-B98612B081A1}" destId="{93AA080D-57AE-4E81-958D-F9A1D38E6CF3}" srcOrd="1" destOrd="0" presId="urn:microsoft.com/office/officeart/2005/8/layout/orgChart1"/>
    <dgm:cxn modelId="{9C8B85A5-4540-435D-A91C-6B1075FAB580}" type="presOf" srcId="{8B0EAEC7-B4D5-4CF1-85E4-FC7CBAB245A6}" destId="{135572E7-D0A9-47F1-B57C-3842E7D4BA7A}" srcOrd="1" destOrd="0" presId="urn:microsoft.com/office/officeart/2005/8/layout/orgChart1"/>
    <dgm:cxn modelId="{4A9D80B2-A778-4F3C-BF32-893B6F3B935A}" srcId="{A5AE3037-5CDE-48B1-980D-BF755907F721}" destId="{2FFF8319-69F4-486B-882F-5B37384F1260}" srcOrd="1" destOrd="0" parTransId="{4ECF0464-F6E6-4CE3-8866-0ED853614CC9}" sibTransId="{9D29A0EC-B56A-4231-9A14-54A739D4E7C0}"/>
    <dgm:cxn modelId="{E12D52B8-7AF8-41E4-8169-4569F54348E5}" srcId="{3D4AA21C-8618-4D88-ADD2-82497DC1C3C8}" destId="{A5AE3037-5CDE-48B1-980D-BF755907F721}" srcOrd="0" destOrd="0" parTransId="{E2EA3DBF-0B05-4BE9-80CF-CD8065633172}" sibTransId="{4B6C03A1-DC02-49AD-83B0-4E4E3C4E4627}"/>
    <dgm:cxn modelId="{F56F7FBB-D02E-4B82-A727-8F1A3DE0EADA}" srcId="{3D4AA21C-8618-4D88-ADD2-82497DC1C3C8}" destId="{F69D1FAD-E8C8-4443-9C53-33D08E3DE8CE}" srcOrd="2" destOrd="0" parTransId="{474A8C66-2F0D-4397-874A-DDCABFDC54EB}" sibTransId="{F2361F06-5F23-4E4E-93B2-3A55630A94F3}"/>
    <dgm:cxn modelId="{EE987EDD-7F0C-4008-95C8-049C3E99239D}" type="presOf" srcId="{5CAD7F8E-2D4B-494E-A9B3-8662F2F1C876}" destId="{2841514A-A0DB-45C8-A350-781612C53CB7}" srcOrd="0" destOrd="0" presId="urn:microsoft.com/office/officeart/2005/8/layout/orgChart1"/>
    <dgm:cxn modelId="{46DFFAE5-E9B3-442D-8886-0EC664DB1920}" type="presOf" srcId="{CA0C4A7D-87B4-42FC-B473-86E796E6DB38}" destId="{AE5E83A7-0964-4C8F-AE38-A162F9EC1141}" srcOrd="0" destOrd="0" presId="urn:microsoft.com/office/officeart/2005/8/layout/orgChart1"/>
    <dgm:cxn modelId="{A1DA7FE7-17AF-472E-B24E-CC02037BB48B}" type="presOf" srcId="{ED054F05-DECF-448A-832E-B98612B081A1}" destId="{0A209B85-31FA-4E41-BE45-2EB0F430555C}" srcOrd="0" destOrd="0" presId="urn:microsoft.com/office/officeart/2005/8/layout/orgChart1"/>
    <dgm:cxn modelId="{5842D9E7-7CCB-4B0B-80EF-C642F60D8984}" type="presOf" srcId="{F56A11B0-F829-4403-B03B-66574A081A1D}" destId="{6D82EA0F-014F-47C5-883A-DB387EA6CDAE}" srcOrd="0" destOrd="0" presId="urn:microsoft.com/office/officeart/2005/8/layout/orgChart1"/>
    <dgm:cxn modelId="{DDD991E8-0698-44E8-A37F-6B5F05ED00D4}" srcId="{ED054F05-DECF-448A-832E-B98612B081A1}" destId="{728EF172-F1A2-4630-ACBD-09151A8D42E0}" srcOrd="0" destOrd="0" parTransId="{E0E28DCF-A5AB-4C9B-8D6E-5C57C3D6B80D}" sibTransId="{06896C4B-0AE3-4711-993A-9BB0A56EB6F2}"/>
    <dgm:cxn modelId="{4D50DEE8-3F3F-4BB1-865F-E6D23F0FFF74}" type="presOf" srcId="{3D4AA21C-8618-4D88-ADD2-82497DC1C3C8}" destId="{02ACD5D0-6C9D-484A-BD23-29ABC006DAEA}" srcOrd="1" destOrd="0" presId="urn:microsoft.com/office/officeart/2005/8/layout/orgChart1"/>
    <dgm:cxn modelId="{8C7B12E9-9CF0-45C0-9307-1978F08FF27F}" type="presOf" srcId="{66822BD2-E0EA-4B23-8515-68CA5DAF36F2}" destId="{8CF0BE38-64A4-48F7-91EA-1C5DF9DE28BA}" srcOrd="1" destOrd="0" presId="urn:microsoft.com/office/officeart/2005/8/layout/orgChart1"/>
    <dgm:cxn modelId="{E36013EA-09C0-49C1-8A23-0972C103C6BA}" srcId="{3D4AA21C-8618-4D88-ADD2-82497DC1C3C8}" destId="{1007B6F3-05BC-4F7A-8E1A-37C08373F646}" srcOrd="1" destOrd="0" parTransId="{DC323120-D202-4A8E-953D-322761F16AE2}" sibTransId="{228E9085-F602-4C47-9F8C-5187B1EC5A82}"/>
    <dgm:cxn modelId="{1A5ECEEA-F688-415C-8B77-E5EF3A25757D}" type="presOf" srcId="{A3C9C18B-9E10-4A65-87A8-C6D2F29C4622}" destId="{FD2BD50E-D384-49FE-BB00-71E6AEEEE500}" srcOrd="0" destOrd="0" presId="urn:microsoft.com/office/officeart/2005/8/layout/orgChart1"/>
    <dgm:cxn modelId="{305577ED-3625-4E9D-8C9B-56DA887498F6}" type="presOf" srcId="{759A86B6-2F79-4936-8581-07D0B45049CD}" destId="{93F63975-AD3A-48CE-8A6A-39CA9BB236AA}" srcOrd="0" destOrd="0" presId="urn:microsoft.com/office/officeart/2005/8/layout/orgChart1"/>
    <dgm:cxn modelId="{A89F57EF-47EA-409E-906D-5EE9A6044583}" type="presOf" srcId="{A716377B-5CE5-4BB0-887C-C66ADEDEFCD0}" destId="{A87082C9-45F3-410C-83B8-8C1C4E93FA1C}" srcOrd="0" destOrd="0" presId="urn:microsoft.com/office/officeart/2005/8/layout/orgChart1"/>
    <dgm:cxn modelId="{F49C61F9-6346-4223-916A-0CDD3FF00F58}" srcId="{CA0C4A7D-87B4-42FC-B473-86E796E6DB38}" destId="{3D4AA21C-8618-4D88-ADD2-82497DC1C3C8}" srcOrd="0" destOrd="0" parTransId="{55DD5BB0-27D4-4C12-9A68-2D22B56B3DB9}" sibTransId="{BA36D946-1E1C-4B8A-8920-C56DB42187D5}"/>
    <dgm:cxn modelId="{862E5FAE-F4C5-4F85-B39A-7476FBCF7B59}" type="presParOf" srcId="{AE5E83A7-0964-4C8F-AE38-A162F9EC1141}" destId="{03C0F827-EF46-4C6A-8A7B-173F39D63C47}" srcOrd="0" destOrd="0" presId="urn:microsoft.com/office/officeart/2005/8/layout/orgChart1"/>
    <dgm:cxn modelId="{7D3E24A5-A34A-4292-8689-3AD14D288F1B}" type="presParOf" srcId="{03C0F827-EF46-4C6A-8A7B-173F39D63C47}" destId="{C17EA8BB-09B7-4C3C-8988-EB642C1DB8DA}" srcOrd="0" destOrd="0" presId="urn:microsoft.com/office/officeart/2005/8/layout/orgChart1"/>
    <dgm:cxn modelId="{37B304BE-9525-4A34-8ACD-01E6413768BA}" type="presParOf" srcId="{C17EA8BB-09B7-4C3C-8988-EB642C1DB8DA}" destId="{C9906B2A-6D0D-4B97-86E9-67AB72BB51C3}" srcOrd="0" destOrd="0" presId="urn:microsoft.com/office/officeart/2005/8/layout/orgChart1"/>
    <dgm:cxn modelId="{5039B660-3600-4E45-AA64-30BA62BE3CAB}" type="presParOf" srcId="{C17EA8BB-09B7-4C3C-8988-EB642C1DB8DA}" destId="{02ACD5D0-6C9D-484A-BD23-29ABC006DAEA}" srcOrd="1" destOrd="0" presId="urn:microsoft.com/office/officeart/2005/8/layout/orgChart1"/>
    <dgm:cxn modelId="{16DED783-FCC5-45E0-8E85-6F4048F509B8}" type="presParOf" srcId="{03C0F827-EF46-4C6A-8A7B-173F39D63C47}" destId="{FF8BCAD5-BE9A-4430-BBC0-D43BA79507C0}" srcOrd="1" destOrd="0" presId="urn:microsoft.com/office/officeart/2005/8/layout/orgChart1"/>
    <dgm:cxn modelId="{3AED6512-781A-4E1C-ACA2-F13F5FAC2B9B}" type="presParOf" srcId="{FF8BCAD5-BE9A-4430-BBC0-D43BA79507C0}" destId="{98DD77B9-6508-4827-9493-60FB472DE478}" srcOrd="0" destOrd="0" presId="urn:microsoft.com/office/officeart/2005/8/layout/orgChart1"/>
    <dgm:cxn modelId="{55ED747C-6F30-4378-83C7-C06EBA291995}" type="presParOf" srcId="{FF8BCAD5-BE9A-4430-BBC0-D43BA79507C0}" destId="{1575CE88-5799-4DA5-9BC6-09897D82DF48}" srcOrd="1" destOrd="0" presId="urn:microsoft.com/office/officeart/2005/8/layout/orgChart1"/>
    <dgm:cxn modelId="{80730711-9F88-4D75-8EF9-922356F5F4ED}" type="presParOf" srcId="{1575CE88-5799-4DA5-9BC6-09897D82DF48}" destId="{F09DB981-3CD5-4201-8323-D09C948E8960}" srcOrd="0" destOrd="0" presId="urn:microsoft.com/office/officeart/2005/8/layout/orgChart1"/>
    <dgm:cxn modelId="{002D00EC-5DB7-4458-8C9F-5CDF95CA588C}" type="presParOf" srcId="{F09DB981-3CD5-4201-8323-D09C948E8960}" destId="{42D1E0BE-354F-4E3C-8806-1977ECF66EA1}" srcOrd="0" destOrd="0" presId="urn:microsoft.com/office/officeart/2005/8/layout/orgChart1"/>
    <dgm:cxn modelId="{A15BB471-2C99-4A22-B652-6190D24B907D}" type="presParOf" srcId="{F09DB981-3CD5-4201-8323-D09C948E8960}" destId="{6280D6AE-52C6-48FA-A310-9B841171A626}" srcOrd="1" destOrd="0" presId="urn:microsoft.com/office/officeart/2005/8/layout/orgChart1"/>
    <dgm:cxn modelId="{47AF0B24-FACD-4593-A545-C12EA5EB5AB8}" type="presParOf" srcId="{1575CE88-5799-4DA5-9BC6-09897D82DF48}" destId="{E2551EF9-F6B8-4D10-ADCE-CA18AB6F6C19}" srcOrd="1" destOrd="0" presId="urn:microsoft.com/office/officeart/2005/8/layout/orgChart1"/>
    <dgm:cxn modelId="{7943FBE6-20A1-4C39-B727-F5936F3BFB6F}" type="presParOf" srcId="{E2551EF9-F6B8-4D10-ADCE-CA18AB6F6C19}" destId="{24BF0753-546B-46C2-86A1-B85748862C03}" srcOrd="0" destOrd="0" presId="urn:microsoft.com/office/officeart/2005/8/layout/orgChart1"/>
    <dgm:cxn modelId="{151C84AF-3C29-4A27-9146-F9D8A001677A}" type="presParOf" srcId="{E2551EF9-F6B8-4D10-ADCE-CA18AB6F6C19}" destId="{8697166C-E6C4-4FAC-9932-876C66AFF466}" srcOrd="1" destOrd="0" presId="urn:microsoft.com/office/officeart/2005/8/layout/orgChart1"/>
    <dgm:cxn modelId="{3E2D2B0A-74C3-43C6-A8E1-41B399B5FADE}" type="presParOf" srcId="{8697166C-E6C4-4FAC-9932-876C66AFF466}" destId="{288D150C-2503-4F00-B391-0AABDF1A2B25}" srcOrd="0" destOrd="0" presId="urn:microsoft.com/office/officeart/2005/8/layout/orgChart1"/>
    <dgm:cxn modelId="{4BCE2F4E-EE82-4F37-A584-57E37DB84603}" type="presParOf" srcId="{288D150C-2503-4F00-B391-0AABDF1A2B25}" destId="{6D82EA0F-014F-47C5-883A-DB387EA6CDAE}" srcOrd="0" destOrd="0" presId="urn:microsoft.com/office/officeart/2005/8/layout/orgChart1"/>
    <dgm:cxn modelId="{B16EDDDA-40CD-4884-9943-55ED2D772A69}" type="presParOf" srcId="{288D150C-2503-4F00-B391-0AABDF1A2B25}" destId="{F512030C-FBC5-4D3B-A89E-F874314E7A02}" srcOrd="1" destOrd="0" presId="urn:microsoft.com/office/officeart/2005/8/layout/orgChart1"/>
    <dgm:cxn modelId="{619C0858-7A22-4A23-8899-515C4F04AD40}" type="presParOf" srcId="{8697166C-E6C4-4FAC-9932-876C66AFF466}" destId="{EEE75C39-9E08-4ACA-8276-F910AEA8229E}" srcOrd="1" destOrd="0" presId="urn:microsoft.com/office/officeart/2005/8/layout/orgChart1"/>
    <dgm:cxn modelId="{C90233A1-F2D8-4451-8227-1187265755F0}" type="presParOf" srcId="{8697166C-E6C4-4FAC-9932-876C66AFF466}" destId="{FC544A9F-2494-4136-ADB2-6C417971A872}" srcOrd="2" destOrd="0" presId="urn:microsoft.com/office/officeart/2005/8/layout/orgChart1"/>
    <dgm:cxn modelId="{BB5B751C-917E-4E3B-94CB-A29677CDD833}" type="presParOf" srcId="{E2551EF9-F6B8-4D10-ADCE-CA18AB6F6C19}" destId="{E3C07E89-C63D-4449-9138-B5EE3042C7A8}" srcOrd="2" destOrd="0" presId="urn:microsoft.com/office/officeart/2005/8/layout/orgChart1"/>
    <dgm:cxn modelId="{B3A89F9B-9638-460F-B907-54866369355D}" type="presParOf" srcId="{E2551EF9-F6B8-4D10-ADCE-CA18AB6F6C19}" destId="{21231F1F-CAD0-4EB2-A434-8F3A9A0C0BD5}" srcOrd="3" destOrd="0" presId="urn:microsoft.com/office/officeart/2005/8/layout/orgChart1"/>
    <dgm:cxn modelId="{61D1132F-14C6-4794-A487-F5DBEDA87566}" type="presParOf" srcId="{21231F1F-CAD0-4EB2-A434-8F3A9A0C0BD5}" destId="{875569A0-C5C9-4FF7-87B8-70C23F8F6DD7}" srcOrd="0" destOrd="0" presId="urn:microsoft.com/office/officeart/2005/8/layout/orgChart1"/>
    <dgm:cxn modelId="{9044972E-349A-47F6-BC72-1F512B44DD4C}" type="presParOf" srcId="{875569A0-C5C9-4FF7-87B8-70C23F8F6DD7}" destId="{16466F66-21BE-440C-AFE1-27401EFCD165}" srcOrd="0" destOrd="0" presId="urn:microsoft.com/office/officeart/2005/8/layout/orgChart1"/>
    <dgm:cxn modelId="{88FF593D-3A24-4848-9EAC-41388E08B089}" type="presParOf" srcId="{875569A0-C5C9-4FF7-87B8-70C23F8F6DD7}" destId="{D53A79D7-A77E-459E-B55D-EB99EE7432DA}" srcOrd="1" destOrd="0" presId="urn:microsoft.com/office/officeart/2005/8/layout/orgChart1"/>
    <dgm:cxn modelId="{7049A80E-8444-4A65-B62B-43A80D6495D0}" type="presParOf" srcId="{21231F1F-CAD0-4EB2-A434-8F3A9A0C0BD5}" destId="{BC9CDFBC-A3BD-4452-8253-FC21870E061E}" srcOrd="1" destOrd="0" presId="urn:microsoft.com/office/officeart/2005/8/layout/orgChart1"/>
    <dgm:cxn modelId="{DA9474A1-06EC-416B-A44B-AB57AACFD9F0}" type="presParOf" srcId="{21231F1F-CAD0-4EB2-A434-8F3A9A0C0BD5}" destId="{72FF905A-11BA-41AD-B5F5-3E7D0248EAC5}" srcOrd="2" destOrd="0" presId="urn:microsoft.com/office/officeart/2005/8/layout/orgChart1"/>
    <dgm:cxn modelId="{49C140D2-2B37-4750-A692-B78DBCC8497A}" type="presParOf" srcId="{E2551EF9-F6B8-4D10-ADCE-CA18AB6F6C19}" destId="{A87082C9-45F3-410C-83B8-8C1C4E93FA1C}" srcOrd="4" destOrd="0" presId="urn:microsoft.com/office/officeart/2005/8/layout/orgChart1"/>
    <dgm:cxn modelId="{1CE5EBED-EF99-4929-B1EB-3C0068221D10}" type="presParOf" srcId="{E2551EF9-F6B8-4D10-ADCE-CA18AB6F6C19}" destId="{5829CBEC-FF79-45A1-A645-BDDC9CDFC4C1}" srcOrd="5" destOrd="0" presId="urn:microsoft.com/office/officeart/2005/8/layout/orgChart1"/>
    <dgm:cxn modelId="{EB065F6C-2D9F-4FD3-BE04-D2AFCEBFF62F}" type="presParOf" srcId="{5829CBEC-FF79-45A1-A645-BDDC9CDFC4C1}" destId="{3385CAAA-3FDB-49A4-A502-B8C3537CDCA1}" srcOrd="0" destOrd="0" presId="urn:microsoft.com/office/officeart/2005/8/layout/orgChart1"/>
    <dgm:cxn modelId="{DBDB100D-CEC0-4071-B5E3-5727C6195E4A}" type="presParOf" srcId="{3385CAAA-3FDB-49A4-A502-B8C3537CDCA1}" destId="{2841514A-A0DB-45C8-A350-781612C53CB7}" srcOrd="0" destOrd="0" presId="urn:microsoft.com/office/officeart/2005/8/layout/orgChart1"/>
    <dgm:cxn modelId="{773AFBAF-312C-43A7-9625-878CDCA65933}" type="presParOf" srcId="{3385CAAA-3FDB-49A4-A502-B8C3537CDCA1}" destId="{669661FF-25DD-4243-AB62-68FDBEE0DB7C}" srcOrd="1" destOrd="0" presId="urn:microsoft.com/office/officeart/2005/8/layout/orgChart1"/>
    <dgm:cxn modelId="{DFBD8F52-243B-4880-825F-B407EF798B17}" type="presParOf" srcId="{5829CBEC-FF79-45A1-A645-BDDC9CDFC4C1}" destId="{67183722-17A1-4727-AAA6-0A14AB58ED05}" srcOrd="1" destOrd="0" presId="urn:microsoft.com/office/officeart/2005/8/layout/orgChart1"/>
    <dgm:cxn modelId="{F23C875C-2970-422F-B1EA-536ED711933F}" type="presParOf" srcId="{5829CBEC-FF79-45A1-A645-BDDC9CDFC4C1}" destId="{10FEBB28-75D6-4A28-A5E8-76720F8194DB}" srcOrd="2" destOrd="0" presId="urn:microsoft.com/office/officeart/2005/8/layout/orgChart1"/>
    <dgm:cxn modelId="{2AC224BA-003A-429D-A131-0A67A6DC4C7E}" type="presParOf" srcId="{1575CE88-5799-4DA5-9BC6-09897D82DF48}" destId="{0BA468DC-1E4F-47B6-834D-E8FC08A235B4}" srcOrd="2" destOrd="0" presId="urn:microsoft.com/office/officeart/2005/8/layout/orgChart1"/>
    <dgm:cxn modelId="{CD035174-E76B-4A80-B0D1-0544EC4F26CD}" type="presParOf" srcId="{FF8BCAD5-BE9A-4430-BBC0-D43BA79507C0}" destId="{F92DD1E1-B9A1-46FB-97E4-955B61300390}" srcOrd="2" destOrd="0" presId="urn:microsoft.com/office/officeart/2005/8/layout/orgChart1"/>
    <dgm:cxn modelId="{FBA72B83-A680-4513-95A6-F4B67DEE1D3C}" type="presParOf" srcId="{FF8BCAD5-BE9A-4430-BBC0-D43BA79507C0}" destId="{A9655281-1A11-48A7-A397-28B2365A7821}" srcOrd="3" destOrd="0" presId="urn:microsoft.com/office/officeart/2005/8/layout/orgChart1"/>
    <dgm:cxn modelId="{2F65CE72-D06E-4B7B-8904-6C8764FE8B07}" type="presParOf" srcId="{A9655281-1A11-48A7-A397-28B2365A7821}" destId="{16DF5A1D-F328-4D8F-9A64-679F012C89FD}" srcOrd="0" destOrd="0" presId="urn:microsoft.com/office/officeart/2005/8/layout/orgChart1"/>
    <dgm:cxn modelId="{713A474A-361B-4AB6-9D9E-2361DAABCA50}" type="presParOf" srcId="{16DF5A1D-F328-4D8F-9A64-679F012C89FD}" destId="{1BE2E877-A98C-4F5E-B162-7E381A985946}" srcOrd="0" destOrd="0" presId="urn:microsoft.com/office/officeart/2005/8/layout/orgChart1"/>
    <dgm:cxn modelId="{745B3E7B-07BB-4121-ADBD-6D384BE0C339}" type="presParOf" srcId="{16DF5A1D-F328-4D8F-9A64-679F012C89FD}" destId="{B971E225-D9F5-478B-8A95-DB5AA24C6662}" srcOrd="1" destOrd="0" presId="urn:microsoft.com/office/officeart/2005/8/layout/orgChart1"/>
    <dgm:cxn modelId="{0850BD02-C203-4259-915C-CA5F71405671}" type="presParOf" srcId="{A9655281-1A11-48A7-A397-28B2365A7821}" destId="{68EA9830-A38B-4137-AD59-A7E86F6FAAA7}" srcOrd="1" destOrd="0" presId="urn:microsoft.com/office/officeart/2005/8/layout/orgChart1"/>
    <dgm:cxn modelId="{F9DC34BF-DE0D-4B7C-940D-46A411B2DF52}" type="presParOf" srcId="{68EA9830-A38B-4137-AD59-A7E86F6FAAA7}" destId="{FE6A734C-CD98-41BA-B25A-1C4D4AE8317A}" srcOrd="0" destOrd="0" presId="urn:microsoft.com/office/officeart/2005/8/layout/orgChart1"/>
    <dgm:cxn modelId="{AC71C5B0-7D0C-416E-A8F8-A3AFD5FC6BEB}" type="presParOf" srcId="{68EA9830-A38B-4137-AD59-A7E86F6FAAA7}" destId="{0CFBA51D-31D1-471A-9BC7-2CEB9D7C399F}" srcOrd="1" destOrd="0" presId="urn:microsoft.com/office/officeart/2005/8/layout/orgChart1"/>
    <dgm:cxn modelId="{7E515F47-F7A3-4012-8A41-D9E5261FD60B}" type="presParOf" srcId="{0CFBA51D-31D1-471A-9BC7-2CEB9D7C399F}" destId="{0D15A8F0-925F-4930-A883-35E4E6551285}" srcOrd="0" destOrd="0" presId="urn:microsoft.com/office/officeart/2005/8/layout/orgChart1"/>
    <dgm:cxn modelId="{1B17F253-2AA5-4377-A3EF-B715CA11ADAA}" type="presParOf" srcId="{0D15A8F0-925F-4930-A883-35E4E6551285}" destId="{6A43EABD-03AA-415F-BE3A-2DD31AB048C5}" srcOrd="0" destOrd="0" presId="urn:microsoft.com/office/officeart/2005/8/layout/orgChart1"/>
    <dgm:cxn modelId="{34C944EB-F9D5-433C-A768-B54AB6E26AA1}" type="presParOf" srcId="{0D15A8F0-925F-4930-A883-35E4E6551285}" destId="{DECA7EAF-1BEF-41A3-ABB3-5EAA3BAAF462}" srcOrd="1" destOrd="0" presId="urn:microsoft.com/office/officeart/2005/8/layout/orgChart1"/>
    <dgm:cxn modelId="{CB95013C-7A6B-45E2-80BC-130D85389758}" type="presParOf" srcId="{0CFBA51D-31D1-471A-9BC7-2CEB9D7C399F}" destId="{D85C8B7E-C5E4-4E2B-A51E-8DED9E096F4F}" srcOrd="1" destOrd="0" presId="urn:microsoft.com/office/officeart/2005/8/layout/orgChart1"/>
    <dgm:cxn modelId="{555B232F-53C9-44E8-A4C2-540C6B6B6F11}" type="presParOf" srcId="{0CFBA51D-31D1-471A-9BC7-2CEB9D7C399F}" destId="{9A795A8B-98A0-4E3A-8C63-BBCD9EC7B428}" srcOrd="2" destOrd="0" presId="urn:microsoft.com/office/officeart/2005/8/layout/orgChart1"/>
    <dgm:cxn modelId="{8E212B79-0BE6-4467-BAE9-75E9BA38542A}" type="presParOf" srcId="{68EA9830-A38B-4137-AD59-A7E86F6FAAA7}" destId="{D978C072-8E92-43C4-91B3-F3E661B7ABAC}" srcOrd="2" destOrd="0" presId="urn:microsoft.com/office/officeart/2005/8/layout/orgChart1"/>
    <dgm:cxn modelId="{372793FD-A1F4-4B1A-A8F0-1A38A04410C1}" type="presParOf" srcId="{68EA9830-A38B-4137-AD59-A7E86F6FAAA7}" destId="{4BE219A9-D29C-4EF0-AD63-17317A4642BE}" srcOrd="3" destOrd="0" presId="urn:microsoft.com/office/officeart/2005/8/layout/orgChart1"/>
    <dgm:cxn modelId="{DF380159-ED4E-465C-89CD-91CC7CB98A2E}" type="presParOf" srcId="{4BE219A9-D29C-4EF0-AD63-17317A4642BE}" destId="{33E3FF0E-3075-4C97-9AB8-B35A81D99026}" srcOrd="0" destOrd="0" presId="urn:microsoft.com/office/officeart/2005/8/layout/orgChart1"/>
    <dgm:cxn modelId="{B3A9C1D1-99B2-4482-8099-C46A2B016D51}" type="presParOf" srcId="{33E3FF0E-3075-4C97-9AB8-B35A81D99026}" destId="{19B89C79-DE41-4F48-9743-7325556D13A7}" srcOrd="0" destOrd="0" presId="urn:microsoft.com/office/officeart/2005/8/layout/orgChart1"/>
    <dgm:cxn modelId="{9F64ABE2-DFDD-4016-A7CA-A3302655FFDD}" type="presParOf" srcId="{33E3FF0E-3075-4C97-9AB8-B35A81D99026}" destId="{135572E7-D0A9-47F1-B57C-3842E7D4BA7A}" srcOrd="1" destOrd="0" presId="urn:microsoft.com/office/officeart/2005/8/layout/orgChart1"/>
    <dgm:cxn modelId="{AEBC8336-E330-47C4-875A-215ED8CD12F4}" type="presParOf" srcId="{4BE219A9-D29C-4EF0-AD63-17317A4642BE}" destId="{E0086AA6-9892-483C-8BF3-8DFA11CB0C89}" srcOrd="1" destOrd="0" presId="urn:microsoft.com/office/officeart/2005/8/layout/orgChart1"/>
    <dgm:cxn modelId="{D389A083-490A-4626-829D-7A2001258CEC}" type="presParOf" srcId="{4BE219A9-D29C-4EF0-AD63-17317A4642BE}" destId="{294FCD5E-48DF-44D1-87AD-8120DD61C071}" srcOrd="2" destOrd="0" presId="urn:microsoft.com/office/officeart/2005/8/layout/orgChart1"/>
    <dgm:cxn modelId="{1508251A-ABD4-43FA-94FC-5302D4287E25}" type="presParOf" srcId="{68EA9830-A38B-4137-AD59-A7E86F6FAAA7}" destId="{8E487ED1-854B-4A52-9737-AAF07A5B6561}" srcOrd="4" destOrd="0" presId="urn:microsoft.com/office/officeart/2005/8/layout/orgChart1"/>
    <dgm:cxn modelId="{736A15C6-F1F7-4469-9765-5A2B55880089}" type="presParOf" srcId="{68EA9830-A38B-4137-AD59-A7E86F6FAAA7}" destId="{0EDA9EF3-F649-4B52-AB88-688C9B52ADAD}" srcOrd="5" destOrd="0" presId="urn:microsoft.com/office/officeart/2005/8/layout/orgChart1"/>
    <dgm:cxn modelId="{43BA8F2D-527E-4D77-B09E-6E7161A9B3E1}" type="presParOf" srcId="{0EDA9EF3-F649-4B52-AB88-688C9B52ADAD}" destId="{B6A5BF6A-F825-4E87-9BF1-F12F0E1A2824}" srcOrd="0" destOrd="0" presId="urn:microsoft.com/office/officeart/2005/8/layout/orgChart1"/>
    <dgm:cxn modelId="{D0AFA740-BE14-40D5-BCCA-E932C5E620F7}" type="presParOf" srcId="{B6A5BF6A-F825-4E87-9BF1-F12F0E1A2824}" destId="{0E67771F-D6B3-42E0-A4EC-8EA8EA99163C}" srcOrd="0" destOrd="0" presId="urn:microsoft.com/office/officeart/2005/8/layout/orgChart1"/>
    <dgm:cxn modelId="{8CEA539D-01EC-4F2A-808A-E878CF28EF47}" type="presParOf" srcId="{B6A5BF6A-F825-4E87-9BF1-F12F0E1A2824}" destId="{56227AB4-9AF1-4700-B97A-335834EB032E}" srcOrd="1" destOrd="0" presId="urn:microsoft.com/office/officeart/2005/8/layout/orgChart1"/>
    <dgm:cxn modelId="{35109001-8C7E-4E68-8A8C-198C5E5A603A}" type="presParOf" srcId="{0EDA9EF3-F649-4B52-AB88-688C9B52ADAD}" destId="{5913F22F-50C4-401C-9266-A98924DA7048}" srcOrd="1" destOrd="0" presId="urn:microsoft.com/office/officeart/2005/8/layout/orgChart1"/>
    <dgm:cxn modelId="{54BD7E1E-F693-4E51-9635-B2762AC0720A}" type="presParOf" srcId="{0EDA9EF3-F649-4B52-AB88-688C9B52ADAD}" destId="{2A7854A4-11CB-4163-A81B-CB4274046604}" srcOrd="2" destOrd="0" presId="urn:microsoft.com/office/officeart/2005/8/layout/orgChart1"/>
    <dgm:cxn modelId="{5ED40ADD-1041-44B7-857C-CAD409F86050}" type="presParOf" srcId="{A9655281-1A11-48A7-A397-28B2365A7821}" destId="{B9E18785-60C1-46A6-89DB-EFB0849FC9C4}" srcOrd="2" destOrd="0" presId="urn:microsoft.com/office/officeart/2005/8/layout/orgChart1"/>
    <dgm:cxn modelId="{3459A91B-B9B0-49F2-BCC4-5370BFF2B51B}" type="presParOf" srcId="{FF8BCAD5-BE9A-4430-BBC0-D43BA79507C0}" destId="{0D136685-5600-4E30-BED0-84E704D24193}" srcOrd="4" destOrd="0" presId="urn:microsoft.com/office/officeart/2005/8/layout/orgChart1"/>
    <dgm:cxn modelId="{2FDEB383-773C-4059-9B96-4B60203901C3}" type="presParOf" srcId="{FF8BCAD5-BE9A-4430-BBC0-D43BA79507C0}" destId="{646878FC-A1C4-4169-97C2-0F25682FDB8A}" srcOrd="5" destOrd="0" presId="urn:microsoft.com/office/officeart/2005/8/layout/orgChart1"/>
    <dgm:cxn modelId="{C0B7C717-CE46-4CFC-9B41-14A22D1686A9}" type="presParOf" srcId="{646878FC-A1C4-4169-97C2-0F25682FDB8A}" destId="{B1B56372-9E70-4A18-ABC7-31AC6F3A3149}" srcOrd="0" destOrd="0" presId="urn:microsoft.com/office/officeart/2005/8/layout/orgChart1"/>
    <dgm:cxn modelId="{AE497F41-D0CB-4F3B-ACAD-DD34D8265E15}" type="presParOf" srcId="{B1B56372-9E70-4A18-ABC7-31AC6F3A3149}" destId="{F929D97E-86BE-4488-B496-35906E1F9CAE}" srcOrd="0" destOrd="0" presId="urn:microsoft.com/office/officeart/2005/8/layout/orgChart1"/>
    <dgm:cxn modelId="{E7A6F55D-9EC5-45C4-A7F1-9F0F589307BD}" type="presParOf" srcId="{B1B56372-9E70-4A18-ABC7-31AC6F3A3149}" destId="{B955BC7D-DAC9-4057-99DB-72B0147F93F2}" srcOrd="1" destOrd="0" presId="urn:microsoft.com/office/officeart/2005/8/layout/orgChart1"/>
    <dgm:cxn modelId="{EB1D9C25-3DBA-43AC-8048-CE290BC522B3}" type="presParOf" srcId="{646878FC-A1C4-4169-97C2-0F25682FDB8A}" destId="{44A9F1B2-39FB-45A3-AB69-4CDFB5D6C1C0}" srcOrd="1" destOrd="0" presId="urn:microsoft.com/office/officeart/2005/8/layout/orgChart1"/>
    <dgm:cxn modelId="{72DF257B-9FF8-455A-BDD5-F06E2908A2BA}" type="presParOf" srcId="{44A9F1B2-39FB-45A3-AB69-4CDFB5D6C1C0}" destId="{3BF4E0A2-533F-46EF-B1EF-8466DEC47284}" srcOrd="0" destOrd="0" presId="urn:microsoft.com/office/officeart/2005/8/layout/orgChart1"/>
    <dgm:cxn modelId="{93D0FEDF-B18D-4F40-AAD4-474C1B8B6989}" type="presParOf" srcId="{44A9F1B2-39FB-45A3-AB69-4CDFB5D6C1C0}" destId="{DC2ABF01-CA2C-4A00-AEB8-54EB3DDBCB56}" srcOrd="1" destOrd="0" presId="urn:microsoft.com/office/officeart/2005/8/layout/orgChart1"/>
    <dgm:cxn modelId="{61D335F6-FCF4-4865-9F3F-BD01D3B4D7A6}" type="presParOf" srcId="{DC2ABF01-CA2C-4A00-AEB8-54EB3DDBCB56}" destId="{4DB6B53A-C791-4485-8973-ADD55BCD34BF}" srcOrd="0" destOrd="0" presId="urn:microsoft.com/office/officeart/2005/8/layout/orgChart1"/>
    <dgm:cxn modelId="{D4F48B45-1AAB-4DF7-B48E-AE4FC145FC7E}" type="presParOf" srcId="{4DB6B53A-C791-4485-8973-ADD55BCD34BF}" destId="{A53EE3FD-0868-455B-8BBA-76212B84AD2F}" srcOrd="0" destOrd="0" presId="urn:microsoft.com/office/officeart/2005/8/layout/orgChart1"/>
    <dgm:cxn modelId="{2BD3C4D7-E3ED-4AD5-8162-028E9C6EDA2E}" type="presParOf" srcId="{4DB6B53A-C791-4485-8973-ADD55BCD34BF}" destId="{C24ACD5D-4A90-452B-B807-DD2ACB3F82D7}" srcOrd="1" destOrd="0" presId="urn:microsoft.com/office/officeart/2005/8/layout/orgChart1"/>
    <dgm:cxn modelId="{AF763919-13A6-4646-828F-5EB9C32BA60D}" type="presParOf" srcId="{DC2ABF01-CA2C-4A00-AEB8-54EB3DDBCB56}" destId="{E04CFBD4-1794-4811-9482-8593FC119F23}" srcOrd="1" destOrd="0" presId="urn:microsoft.com/office/officeart/2005/8/layout/orgChart1"/>
    <dgm:cxn modelId="{47B19158-8914-4F0E-A6AB-EDFEBAA2B7B6}" type="presParOf" srcId="{DC2ABF01-CA2C-4A00-AEB8-54EB3DDBCB56}" destId="{78B4F3FE-F575-4231-B68B-11F8300430B1}" srcOrd="2" destOrd="0" presId="urn:microsoft.com/office/officeart/2005/8/layout/orgChart1"/>
    <dgm:cxn modelId="{832E88B0-1D77-4A1D-976F-21B1A4B3BA0B}" type="presParOf" srcId="{44A9F1B2-39FB-45A3-AB69-4CDFB5D6C1C0}" destId="{FD2BD50E-D384-49FE-BB00-71E6AEEEE500}" srcOrd="2" destOrd="0" presId="urn:microsoft.com/office/officeart/2005/8/layout/orgChart1"/>
    <dgm:cxn modelId="{78E5873C-20FD-4DD2-93E2-5F453300C177}" type="presParOf" srcId="{44A9F1B2-39FB-45A3-AB69-4CDFB5D6C1C0}" destId="{C2D4CFC6-EDEA-4994-85C4-82C320A7C677}" srcOrd="3" destOrd="0" presId="urn:microsoft.com/office/officeart/2005/8/layout/orgChart1"/>
    <dgm:cxn modelId="{49971C4A-0D1C-49E8-BABE-AD380306B6EB}" type="presParOf" srcId="{C2D4CFC6-EDEA-4994-85C4-82C320A7C677}" destId="{D088533D-A6D4-42DD-8549-CE6D6612641C}" srcOrd="0" destOrd="0" presId="urn:microsoft.com/office/officeart/2005/8/layout/orgChart1"/>
    <dgm:cxn modelId="{5FA2A9B7-E6A5-46E2-9498-9C3F0DFEBDBB}" type="presParOf" srcId="{D088533D-A6D4-42DD-8549-CE6D6612641C}" destId="{1BB92FE5-CE5A-41FE-B673-C4A4F62BF5AB}" srcOrd="0" destOrd="0" presId="urn:microsoft.com/office/officeart/2005/8/layout/orgChart1"/>
    <dgm:cxn modelId="{EB56ACA5-4D8A-4BF2-9900-1A2AB84FC99D}" type="presParOf" srcId="{D088533D-A6D4-42DD-8549-CE6D6612641C}" destId="{C55C49B2-409B-4525-9D61-0D463E355467}" srcOrd="1" destOrd="0" presId="urn:microsoft.com/office/officeart/2005/8/layout/orgChart1"/>
    <dgm:cxn modelId="{BB38F006-6075-4484-A248-CB48BC5B46F0}" type="presParOf" srcId="{C2D4CFC6-EDEA-4994-85C4-82C320A7C677}" destId="{01E9F9E7-41C4-4196-B067-4AA632BDE21D}" srcOrd="1" destOrd="0" presId="urn:microsoft.com/office/officeart/2005/8/layout/orgChart1"/>
    <dgm:cxn modelId="{1C7A8566-2754-4D72-816C-9EAF263759A7}" type="presParOf" srcId="{C2D4CFC6-EDEA-4994-85C4-82C320A7C677}" destId="{16BFCAC6-DC2E-45FA-B317-635DF3BD8F62}" srcOrd="2" destOrd="0" presId="urn:microsoft.com/office/officeart/2005/8/layout/orgChart1"/>
    <dgm:cxn modelId="{C3409F0C-EE2F-4F56-B183-A12D2DF4B7F2}" type="presParOf" srcId="{44A9F1B2-39FB-45A3-AB69-4CDFB5D6C1C0}" destId="{FEA01142-F62E-4F09-955A-6EF0C7069331}" srcOrd="4" destOrd="0" presId="urn:microsoft.com/office/officeart/2005/8/layout/orgChart1"/>
    <dgm:cxn modelId="{F9D802EB-65A0-4246-B3E0-406DE206FF8A}" type="presParOf" srcId="{44A9F1B2-39FB-45A3-AB69-4CDFB5D6C1C0}" destId="{F53AEB9B-37A0-47A7-9844-7F512AC66904}" srcOrd="5" destOrd="0" presId="urn:microsoft.com/office/officeart/2005/8/layout/orgChart1"/>
    <dgm:cxn modelId="{B01A1423-3DC9-4E8A-BADB-2CD5FF7624CD}" type="presParOf" srcId="{F53AEB9B-37A0-47A7-9844-7F512AC66904}" destId="{5BDCB8CB-9218-4565-AD2A-723662D72680}" srcOrd="0" destOrd="0" presId="urn:microsoft.com/office/officeart/2005/8/layout/orgChart1"/>
    <dgm:cxn modelId="{C8414560-C216-4F17-9985-F4E1A4E11DBF}" type="presParOf" srcId="{5BDCB8CB-9218-4565-AD2A-723662D72680}" destId="{B509DCB6-92BF-408D-9332-348533AC8AE4}" srcOrd="0" destOrd="0" presId="urn:microsoft.com/office/officeart/2005/8/layout/orgChart1"/>
    <dgm:cxn modelId="{D615A7D4-7125-4F0A-95E3-22470D4513CC}" type="presParOf" srcId="{5BDCB8CB-9218-4565-AD2A-723662D72680}" destId="{260E8905-E423-4F36-BAD2-9471CD368CFA}" srcOrd="1" destOrd="0" presId="urn:microsoft.com/office/officeart/2005/8/layout/orgChart1"/>
    <dgm:cxn modelId="{7F0D106E-A235-4592-9F2E-F83EB0FFA88A}" type="presParOf" srcId="{F53AEB9B-37A0-47A7-9844-7F512AC66904}" destId="{5477AFEF-68F3-4E40-A383-B71021CC1C12}" srcOrd="1" destOrd="0" presId="urn:microsoft.com/office/officeart/2005/8/layout/orgChart1"/>
    <dgm:cxn modelId="{0D59618E-DEFD-4A0F-9269-6175BE3C5335}" type="presParOf" srcId="{F53AEB9B-37A0-47A7-9844-7F512AC66904}" destId="{C9993A71-F16C-4C0F-90DE-5F6B5DE2D2C9}" srcOrd="2" destOrd="0" presId="urn:microsoft.com/office/officeart/2005/8/layout/orgChart1"/>
    <dgm:cxn modelId="{6E1A96F8-EB81-449B-A9E6-56CF5D72E662}" type="presParOf" srcId="{646878FC-A1C4-4169-97C2-0F25682FDB8A}" destId="{24437570-CAF3-40CD-AC31-3F36F640E640}" srcOrd="2" destOrd="0" presId="urn:microsoft.com/office/officeart/2005/8/layout/orgChart1"/>
    <dgm:cxn modelId="{856363DA-67E9-4756-BCC8-882E9D520068}" type="presParOf" srcId="{FF8BCAD5-BE9A-4430-BBC0-D43BA79507C0}" destId="{93F63975-AD3A-48CE-8A6A-39CA9BB236AA}" srcOrd="6" destOrd="0" presId="urn:microsoft.com/office/officeart/2005/8/layout/orgChart1"/>
    <dgm:cxn modelId="{FF0D979E-F88A-48B2-A598-67950A4672F3}" type="presParOf" srcId="{FF8BCAD5-BE9A-4430-BBC0-D43BA79507C0}" destId="{49325649-D094-4BD1-A2F7-B0C137CD3783}" srcOrd="7" destOrd="0" presId="urn:microsoft.com/office/officeart/2005/8/layout/orgChart1"/>
    <dgm:cxn modelId="{1CFD233F-2A5F-47BC-8AB1-D5F2FCA00E9D}" type="presParOf" srcId="{49325649-D094-4BD1-A2F7-B0C137CD3783}" destId="{70789CCD-8B0C-49CD-B4B8-0C065B45323F}" srcOrd="0" destOrd="0" presId="urn:microsoft.com/office/officeart/2005/8/layout/orgChart1"/>
    <dgm:cxn modelId="{54EE507B-5D8E-4C4B-99F5-F9FC7D4B485D}" type="presParOf" srcId="{70789CCD-8B0C-49CD-B4B8-0C065B45323F}" destId="{0A209B85-31FA-4E41-BE45-2EB0F430555C}" srcOrd="0" destOrd="0" presId="urn:microsoft.com/office/officeart/2005/8/layout/orgChart1"/>
    <dgm:cxn modelId="{797719CD-5345-4850-B60D-89F7018D64F3}" type="presParOf" srcId="{70789CCD-8B0C-49CD-B4B8-0C065B45323F}" destId="{93AA080D-57AE-4E81-958D-F9A1D38E6CF3}" srcOrd="1" destOrd="0" presId="urn:microsoft.com/office/officeart/2005/8/layout/orgChart1"/>
    <dgm:cxn modelId="{C25FAE36-FA78-4001-A494-B34B63ADF1FB}" type="presParOf" srcId="{49325649-D094-4BD1-A2F7-B0C137CD3783}" destId="{5B8EF062-37A5-49E6-A886-57B55A36AD80}" srcOrd="1" destOrd="0" presId="urn:microsoft.com/office/officeart/2005/8/layout/orgChart1"/>
    <dgm:cxn modelId="{E296EEDA-8719-410E-99E2-E00EDE262C37}" type="presParOf" srcId="{5B8EF062-37A5-49E6-A886-57B55A36AD80}" destId="{07890C3C-0C34-43C6-B53A-43502EC7872E}" srcOrd="0" destOrd="0" presId="urn:microsoft.com/office/officeart/2005/8/layout/orgChart1"/>
    <dgm:cxn modelId="{778316E0-E70B-41A2-B54A-E935B6F023FA}" type="presParOf" srcId="{5B8EF062-37A5-49E6-A886-57B55A36AD80}" destId="{E81F8071-148A-4763-8EFF-7359EBC8DE40}" srcOrd="1" destOrd="0" presId="urn:microsoft.com/office/officeart/2005/8/layout/orgChart1"/>
    <dgm:cxn modelId="{499DA8C2-90E3-4382-8D61-170EE223E00F}" type="presParOf" srcId="{E81F8071-148A-4763-8EFF-7359EBC8DE40}" destId="{FDD95A59-FDE0-4E38-BD3F-1AEE9AAEC663}" srcOrd="0" destOrd="0" presId="urn:microsoft.com/office/officeart/2005/8/layout/orgChart1"/>
    <dgm:cxn modelId="{E136269B-F9C9-4E60-885E-98C49F9131C6}" type="presParOf" srcId="{FDD95A59-FDE0-4E38-BD3F-1AEE9AAEC663}" destId="{25CBE439-FF8E-48F7-B5EE-F025139ED159}" srcOrd="0" destOrd="0" presId="urn:microsoft.com/office/officeart/2005/8/layout/orgChart1"/>
    <dgm:cxn modelId="{46ACC402-A40A-4B95-958C-B269E99A3764}" type="presParOf" srcId="{FDD95A59-FDE0-4E38-BD3F-1AEE9AAEC663}" destId="{EA9065D7-9704-4C0A-8D0D-77EE2F0AF926}" srcOrd="1" destOrd="0" presId="urn:microsoft.com/office/officeart/2005/8/layout/orgChart1"/>
    <dgm:cxn modelId="{E1504282-B74F-4D11-9D59-DA7CA4C9EB05}" type="presParOf" srcId="{E81F8071-148A-4763-8EFF-7359EBC8DE40}" destId="{D70D0C17-EA0F-4EA2-88B8-05912BDCDDF2}" srcOrd="1" destOrd="0" presId="urn:microsoft.com/office/officeart/2005/8/layout/orgChart1"/>
    <dgm:cxn modelId="{9617718E-1DD4-4ECD-AC54-2E9ED2502150}" type="presParOf" srcId="{E81F8071-148A-4763-8EFF-7359EBC8DE40}" destId="{7580CB60-37C3-4922-B670-CB79D70669CB}" srcOrd="2" destOrd="0" presId="urn:microsoft.com/office/officeart/2005/8/layout/orgChart1"/>
    <dgm:cxn modelId="{FCDD4178-9A70-4148-8FB6-0D2DCB6E5617}" type="presParOf" srcId="{5B8EF062-37A5-49E6-A886-57B55A36AD80}" destId="{0682577A-DD48-4F68-A560-24C92A32267A}" srcOrd="2" destOrd="0" presId="urn:microsoft.com/office/officeart/2005/8/layout/orgChart1"/>
    <dgm:cxn modelId="{CF03637F-934D-44F3-8185-ED85866D0C26}" type="presParOf" srcId="{5B8EF062-37A5-49E6-A886-57B55A36AD80}" destId="{F807C59A-718A-4B6B-95A4-4DE71D9B58EF}" srcOrd="3" destOrd="0" presId="urn:microsoft.com/office/officeart/2005/8/layout/orgChart1"/>
    <dgm:cxn modelId="{6D28E6CA-A139-414A-9700-2D84EE15D4D7}" type="presParOf" srcId="{F807C59A-718A-4B6B-95A4-4DE71D9B58EF}" destId="{CCA4A9ED-1E46-487D-A4EC-7A1E9512863F}" srcOrd="0" destOrd="0" presId="urn:microsoft.com/office/officeart/2005/8/layout/orgChart1"/>
    <dgm:cxn modelId="{679433CF-5F6C-4945-AEF5-E5D0C9E312C3}" type="presParOf" srcId="{CCA4A9ED-1E46-487D-A4EC-7A1E9512863F}" destId="{340D405E-7980-48FF-92E8-4B1BA0904690}" srcOrd="0" destOrd="0" presId="urn:microsoft.com/office/officeart/2005/8/layout/orgChart1"/>
    <dgm:cxn modelId="{0A95CB78-A307-4A6A-87BF-811F9319B930}" type="presParOf" srcId="{CCA4A9ED-1E46-487D-A4EC-7A1E9512863F}" destId="{8CF0BE38-64A4-48F7-91EA-1C5DF9DE28BA}" srcOrd="1" destOrd="0" presId="urn:microsoft.com/office/officeart/2005/8/layout/orgChart1"/>
    <dgm:cxn modelId="{CA4D2D0C-6FF9-4714-8CD8-613E3B1138A0}" type="presParOf" srcId="{F807C59A-718A-4B6B-95A4-4DE71D9B58EF}" destId="{29A25B00-B975-4C02-86E5-474E22CEC8B6}" srcOrd="1" destOrd="0" presId="urn:microsoft.com/office/officeart/2005/8/layout/orgChart1"/>
    <dgm:cxn modelId="{4B01AB24-C484-4088-9081-642B8BFD4AFF}" type="presParOf" srcId="{F807C59A-718A-4B6B-95A4-4DE71D9B58EF}" destId="{61E0D8D8-696B-4694-AB78-FAF9F716517A}" srcOrd="2" destOrd="0" presId="urn:microsoft.com/office/officeart/2005/8/layout/orgChart1"/>
    <dgm:cxn modelId="{C0A56EE2-4F58-4E48-8445-76A351F8932F}" type="presParOf" srcId="{49325649-D094-4BD1-A2F7-B0C137CD3783}" destId="{91D2895F-3E53-4BC7-9AB0-1076D1CBD59C}" srcOrd="2" destOrd="0" presId="urn:microsoft.com/office/officeart/2005/8/layout/orgChart1"/>
    <dgm:cxn modelId="{50A5D783-B848-4BD9-8D5B-DD59ACA546D7}" type="presParOf" srcId="{03C0F827-EF46-4C6A-8A7B-173F39D63C47}" destId="{3ABEBA5C-E863-4AB9-8F74-BB798A86922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CA0C4A7D-87B4-42FC-B473-86E796E6DB38}" type="doc">
      <dgm:prSet loTypeId="urn:microsoft.com/office/officeart/2005/8/layout/orgChart1" loCatId="hierarchy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CA"/>
        </a:p>
      </dgm:t>
    </dgm:pt>
    <dgm:pt modelId="{3D4AA21C-8618-4D88-ADD2-82497DC1C3C8}">
      <dgm:prSet phldrT="[Text]" custT="1"/>
      <dgm:spPr>
        <a:solidFill>
          <a:schemeClr val="accent6">
            <a:lumMod val="50000"/>
          </a:schemeClr>
        </a:solidFill>
      </dgm:spPr>
      <dgm:t>
        <a:bodyPr/>
        <a:lstStyle/>
        <a:p>
          <a:r>
            <a:rPr lang="en-CA" sz="1000" b="1">
              <a:solidFill>
                <a:schemeClr val="bg1"/>
              </a:solidFill>
              <a:latin typeface="+mn-lt"/>
              <a:ea typeface="+mn-ea"/>
            </a:rPr>
            <a:t>Phase 3 - Development</a:t>
          </a:r>
        </a:p>
      </dgm:t>
    </dgm:pt>
    <dgm:pt modelId="{55DD5BB0-27D4-4C12-9A68-2D22B56B3DB9}" type="par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BA36D946-1E1C-4B8A-8920-C56DB42187D5}" type="sib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A5AE3037-5CDE-48B1-980D-BF755907F721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3.1. Account Management</a:t>
          </a:r>
        </a:p>
      </dgm:t>
    </dgm:pt>
    <dgm:pt modelId="{E2EA3DBF-0B05-4BE9-80CF-CD8065633172}" type="parTrans" cxnId="{E12D52B8-7AF8-41E4-8169-4569F54348E5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4B6C03A1-DC02-49AD-83B0-4E4E3C4E4627}" type="sibTrans" cxnId="{E12D52B8-7AF8-41E4-8169-4569F54348E5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1007B6F3-05BC-4F7A-8E1A-37C08373F646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3.2. Pet Browsing</a:t>
          </a:r>
        </a:p>
      </dgm:t>
    </dgm:pt>
    <dgm:pt modelId="{DC323120-D202-4A8E-953D-322761F16AE2}" type="parTrans" cxnId="{E36013EA-09C0-49C1-8A23-0972C103C6B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228E9085-F602-4C47-9F8C-5187B1EC5A82}" type="sibTrans" cxnId="{E36013EA-09C0-49C1-8A23-0972C103C6B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B850433-3650-48AA-859B-F06BE9D5D2A1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B0DE2BE-30B8-41A2-9742-9F7D501ABEE0}" type="parTrans" cxnId="{5E97D352-E701-45B2-AC47-7FC0773CA41F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10704553-64AA-4B37-B0EC-C2F455ECB4C5}" type="sibTrans" cxnId="{5E97D352-E701-45B2-AC47-7FC0773CA41F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F69D1FAD-E8C8-4443-9C53-33D08E3DE8CE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3.3. Pet Management</a:t>
          </a:r>
        </a:p>
      </dgm:t>
    </dgm:pt>
    <dgm:pt modelId="{474A8C66-2F0D-4397-874A-DDCABFDC54EB}" type="parTrans" cxnId="{F56F7FBB-D02E-4B82-A727-8F1A3DE0EADA}">
      <dgm:prSet/>
      <dgm:spPr/>
      <dgm:t>
        <a:bodyPr/>
        <a:lstStyle/>
        <a:p>
          <a:endParaRPr lang="en-CA"/>
        </a:p>
      </dgm:t>
    </dgm:pt>
    <dgm:pt modelId="{F2361F06-5F23-4E4E-93B2-3A55630A94F3}" type="sibTrans" cxnId="{F56F7FBB-D02E-4B82-A727-8F1A3DE0EADA}">
      <dgm:prSet/>
      <dgm:spPr/>
      <dgm:t>
        <a:bodyPr/>
        <a:lstStyle/>
        <a:p>
          <a:endParaRPr lang="en-CA"/>
        </a:p>
      </dgm:t>
    </dgm:pt>
    <dgm:pt modelId="{882B9642-DB5D-4415-8141-174046543928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1768B429-B295-4E12-A4E5-2959760A26BB}" type="parTrans" cxnId="{26035A75-A7B8-481A-9B7C-A1DD774E82AB}">
      <dgm:prSet/>
      <dgm:spPr/>
      <dgm:t>
        <a:bodyPr/>
        <a:lstStyle/>
        <a:p>
          <a:endParaRPr lang="en-CA"/>
        </a:p>
      </dgm:t>
    </dgm:pt>
    <dgm:pt modelId="{CEF1BA8D-8962-4916-A848-7A69DE1F430D}" type="sibTrans" cxnId="{26035A75-A7B8-481A-9B7C-A1DD774E82AB}">
      <dgm:prSet/>
      <dgm:spPr/>
      <dgm:t>
        <a:bodyPr/>
        <a:lstStyle/>
        <a:p>
          <a:endParaRPr lang="en-CA"/>
        </a:p>
      </dgm:t>
    </dgm:pt>
    <dgm:pt modelId="{8B0EAEC7-B4D5-4CF1-85E4-FC7CBAB245A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FA1804DE-9856-4A08-B6E3-E8E7C1EC73C0}" type="parTrans" cxnId="{6ED3C603-97B0-4752-B216-DC9E87E399A5}">
      <dgm:prSet/>
      <dgm:spPr/>
      <dgm:t>
        <a:bodyPr/>
        <a:lstStyle/>
        <a:p>
          <a:endParaRPr lang="en-CA"/>
        </a:p>
      </dgm:t>
    </dgm:pt>
    <dgm:pt modelId="{00DA78FB-7979-4ADC-A1E7-89CD20DF37F4}" type="sibTrans" cxnId="{6ED3C603-97B0-4752-B216-DC9E87E399A5}">
      <dgm:prSet/>
      <dgm:spPr/>
      <dgm:t>
        <a:bodyPr/>
        <a:lstStyle/>
        <a:p>
          <a:endParaRPr lang="en-CA"/>
        </a:p>
      </dgm:t>
    </dgm:pt>
    <dgm:pt modelId="{0202D3B0-F039-4A45-9B54-52DE61CC6EBF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Accessing Pet Details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DA5B83C-D6D6-4F7C-810E-D00E25F2DA99}" type="parTrans" cxnId="{9462EE48-C752-4738-8121-7C5F5D8E3EA9}">
      <dgm:prSet/>
      <dgm:spPr/>
      <dgm:t>
        <a:bodyPr/>
        <a:lstStyle/>
        <a:p>
          <a:endParaRPr lang="en-CA"/>
        </a:p>
      </dgm:t>
    </dgm:pt>
    <dgm:pt modelId="{B9F88689-25EB-4604-9BE4-089FAC838E94}" type="sibTrans" cxnId="{9462EE48-C752-4738-8121-7C5F5D8E3EA9}">
      <dgm:prSet/>
      <dgm:spPr/>
      <dgm:t>
        <a:bodyPr/>
        <a:lstStyle/>
        <a:p>
          <a:endParaRPr lang="en-CA"/>
        </a:p>
      </dgm:t>
    </dgm:pt>
    <dgm:pt modelId="{367DA472-A6B5-4A65-AA92-ABD67FD1CC0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190B60C-4242-4AB8-BE76-B364159818C9}" type="parTrans" cxnId="{CFCB7A42-AF82-45F9-9001-D0C2BA0C1D68}">
      <dgm:prSet/>
      <dgm:spPr/>
      <dgm:t>
        <a:bodyPr/>
        <a:lstStyle/>
        <a:p>
          <a:endParaRPr lang="en-CA"/>
        </a:p>
      </dgm:t>
    </dgm:pt>
    <dgm:pt modelId="{15DB7952-266A-46BB-A9FF-6186DD342E36}" type="sibTrans" cxnId="{CFCB7A42-AF82-45F9-9001-D0C2BA0C1D68}">
      <dgm:prSet/>
      <dgm:spPr/>
      <dgm:t>
        <a:bodyPr/>
        <a:lstStyle/>
        <a:p>
          <a:endParaRPr lang="en-CA"/>
        </a:p>
      </dgm:t>
    </dgm:pt>
    <dgm:pt modelId="{BAD477F3-63B5-42EE-B3B5-05689244E517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A3C9C18B-9E10-4A65-87A8-C6D2F29C4622}" type="parTrans" cxnId="{9B2D7A24-DB78-4C8D-88B7-D2C0CE2B8877}">
      <dgm:prSet/>
      <dgm:spPr/>
      <dgm:t>
        <a:bodyPr/>
        <a:lstStyle/>
        <a:p>
          <a:endParaRPr lang="en-CA"/>
        </a:p>
      </dgm:t>
    </dgm:pt>
    <dgm:pt modelId="{81F2F3B1-1E4B-4A1D-937B-28A35B243ECF}" type="sibTrans" cxnId="{9B2D7A24-DB78-4C8D-88B7-D2C0CE2B8877}">
      <dgm:prSet/>
      <dgm:spPr/>
      <dgm:t>
        <a:bodyPr/>
        <a:lstStyle/>
        <a:p>
          <a:endParaRPr lang="en-CA"/>
        </a:p>
      </dgm:t>
    </dgm:pt>
    <dgm:pt modelId="{ED054F05-DECF-448A-832E-B98612B081A1}">
      <dgm:prSet phldrT="[Text]" custT="1"/>
      <dgm:spPr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350" tIns="6350" rIns="6350" bIns="6350" numCol="1" spcCol="1270" anchor="ctr" anchorCtr="0"/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3.4. Authentication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59A86B6-2F79-4936-8581-07D0B45049CD}" type="parTrans" cxnId="{426D991C-BC7B-4286-A3EF-54B92D418A56}">
      <dgm:prSet/>
      <dgm:spPr/>
      <dgm:t>
        <a:bodyPr/>
        <a:lstStyle/>
        <a:p>
          <a:endParaRPr lang="en-CA"/>
        </a:p>
      </dgm:t>
    </dgm:pt>
    <dgm:pt modelId="{5E0090F4-BA9F-4822-A5B4-2C1E9396E774}" type="sibTrans" cxnId="{426D991C-BC7B-4286-A3EF-54B92D418A56}">
      <dgm:prSet/>
      <dgm:spPr/>
      <dgm:t>
        <a:bodyPr/>
        <a:lstStyle/>
        <a:p>
          <a:endParaRPr lang="en-CA"/>
        </a:p>
      </dgm:t>
    </dgm:pt>
    <dgm:pt modelId="{728EF172-F1A2-4630-ACBD-09151A8D42E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3.4.1. Login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E0E28DCF-A5AB-4C9B-8D6E-5C57C3D6B80D}" type="parTrans" cxnId="{DDD991E8-0698-44E8-A37F-6B5F05ED00D4}">
      <dgm:prSet/>
      <dgm:spPr/>
      <dgm:t>
        <a:bodyPr/>
        <a:lstStyle/>
        <a:p>
          <a:endParaRPr lang="en-CA"/>
        </a:p>
      </dgm:t>
    </dgm:pt>
    <dgm:pt modelId="{06896C4B-0AE3-4711-993A-9BB0A56EB6F2}" type="sibTrans" cxnId="{DDD991E8-0698-44E8-A37F-6B5F05ED00D4}">
      <dgm:prSet/>
      <dgm:spPr/>
      <dgm:t>
        <a:bodyPr/>
        <a:lstStyle/>
        <a:p>
          <a:endParaRPr lang="en-CA"/>
        </a:p>
      </dgm:t>
    </dgm:pt>
    <dgm:pt modelId="{66822BD2-E0EA-4B23-8515-68CA5DAF36F2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3.4.2. Registration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CA170EC8-BD45-473C-9A48-D8E4B862E170}" type="parTrans" cxnId="{FCB5A58B-E24A-469E-A23E-5C47ED6D1DBE}">
      <dgm:prSet/>
      <dgm:spPr/>
      <dgm:t>
        <a:bodyPr/>
        <a:lstStyle/>
        <a:p>
          <a:endParaRPr lang="en-CA"/>
        </a:p>
      </dgm:t>
    </dgm:pt>
    <dgm:pt modelId="{9E76F400-F081-40C5-B061-15C7F717FAD8}" type="sibTrans" cxnId="{FCB5A58B-E24A-469E-A23E-5C47ED6D1DBE}">
      <dgm:prSet/>
      <dgm:spPr/>
      <dgm:t>
        <a:bodyPr/>
        <a:lstStyle/>
        <a:p>
          <a:endParaRPr lang="en-CA"/>
        </a:p>
      </dgm:t>
    </dgm:pt>
    <dgm:pt modelId="{F56A11B0-F829-4403-B03B-66574A081A1D}">
      <dgm:prSet phldrT="[Text]" custT="1"/>
      <dgm:spPr>
        <a:solidFill>
          <a:schemeClr val="accent4">
            <a:lumMod val="60000"/>
            <a:lumOff val="40000"/>
          </a:schemeClr>
        </a:solidFill>
      </dgm:spPr>
      <dgm:t>
        <a:bodyPr lIns="108000" tIns="72000" rIns="36000" bIns="72000"/>
        <a:lstStyle/>
        <a:p>
          <a:pPr algn="l"/>
          <a:r>
            <a:rPr lang="en-CA" sz="1000" dirty="0">
              <a:solidFill>
                <a:sysClr val="windowText" lastClr="000000"/>
              </a:solidFill>
            </a:rPr>
            <a:t>3.1.1. Edit Profile Name</a:t>
          </a:r>
          <a:endParaRPr lang="en-CA" sz="1000">
            <a:solidFill>
              <a:sysClr val="windowText" lastClr="000000"/>
            </a:solidFill>
            <a:latin typeface="+mn-lt"/>
          </a:endParaRPr>
        </a:p>
      </dgm:t>
    </dgm:pt>
    <dgm:pt modelId="{1795EB77-CC6C-4AC9-AEB9-E8649F4A642D}" type="sibTrans" cxnId="{348ADE71-4DE7-4FC4-8AD4-2C3B295510A4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3EE6172B-B803-440C-92DD-765D3BC6ACDB}" type="parTrans" cxnId="{348ADE71-4DE7-4FC4-8AD4-2C3B295510A4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5CAD7F8E-2D4B-494E-A9B3-8662F2F1C87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93E730C-51B3-4EB3-A4BB-C31B5045F139}" type="sibTrans" cxnId="{2A34B621-429B-41E7-8116-28E63095749A}">
      <dgm:prSet/>
      <dgm:spPr/>
      <dgm:t>
        <a:bodyPr/>
        <a:lstStyle/>
        <a:p>
          <a:endParaRPr lang="en-CA"/>
        </a:p>
      </dgm:t>
    </dgm:pt>
    <dgm:pt modelId="{A716377B-5CE5-4BB0-887C-C66ADEDEFCD0}" type="parTrans" cxnId="{2A34B621-429B-41E7-8116-28E63095749A}">
      <dgm:prSet/>
      <dgm:spPr/>
      <dgm:t>
        <a:bodyPr/>
        <a:lstStyle/>
        <a:p>
          <a:endParaRPr lang="en-CA"/>
        </a:p>
      </dgm:t>
    </dgm:pt>
    <dgm:pt modelId="{2FFF8319-69F4-486B-882F-5B37384F126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D29A0EC-B56A-4231-9A14-54A739D4E7C0}" type="sibTrans" cxnId="{4A9D80B2-A778-4F3C-BF32-893B6F3B935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ECF0464-F6E6-4CE3-8866-0ED853614CC9}" type="parTrans" cxnId="{4A9D80B2-A778-4F3C-BF32-893B6F3B935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AE5E83A7-0964-4C8F-AE38-A162F9EC1141}" type="pres">
      <dgm:prSet presAssocID="{CA0C4A7D-87B4-42FC-B473-86E796E6DB3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3C0F827-EF46-4C6A-8A7B-173F39D63C47}" type="pres">
      <dgm:prSet presAssocID="{3D4AA21C-8618-4D88-ADD2-82497DC1C3C8}" presName="hierRoot1" presStyleCnt="0">
        <dgm:presLayoutVars>
          <dgm:hierBranch val="init"/>
        </dgm:presLayoutVars>
      </dgm:prSet>
      <dgm:spPr/>
    </dgm:pt>
    <dgm:pt modelId="{C17EA8BB-09B7-4C3C-8988-EB642C1DB8DA}" type="pres">
      <dgm:prSet presAssocID="{3D4AA21C-8618-4D88-ADD2-82497DC1C3C8}" presName="rootComposite1" presStyleCnt="0"/>
      <dgm:spPr/>
    </dgm:pt>
    <dgm:pt modelId="{C9906B2A-6D0D-4B97-86E9-67AB72BB51C3}" type="pres">
      <dgm:prSet presAssocID="{3D4AA21C-8618-4D88-ADD2-82497DC1C3C8}" presName="rootText1" presStyleLbl="node0" presStyleIdx="0" presStyleCnt="1" custScaleX="275290" custScaleY="110116">
        <dgm:presLayoutVars>
          <dgm:chPref val="3"/>
        </dgm:presLayoutVars>
      </dgm:prSet>
      <dgm:spPr>
        <a:prstGeom prst="roundRect">
          <a:avLst/>
        </a:prstGeom>
      </dgm:spPr>
    </dgm:pt>
    <dgm:pt modelId="{02ACD5D0-6C9D-484A-BD23-29ABC006DAEA}" type="pres">
      <dgm:prSet presAssocID="{3D4AA21C-8618-4D88-ADD2-82497DC1C3C8}" presName="rootConnector1" presStyleLbl="node1" presStyleIdx="0" presStyleCnt="0"/>
      <dgm:spPr/>
    </dgm:pt>
    <dgm:pt modelId="{FF8BCAD5-BE9A-4430-BBC0-D43BA79507C0}" type="pres">
      <dgm:prSet presAssocID="{3D4AA21C-8618-4D88-ADD2-82497DC1C3C8}" presName="hierChild2" presStyleCnt="0"/>
      <dgm:spPr/>
    </dgm:pt>
    <dgm:pt modelId="{98DD77B9-6508-4827-9493-60FB472DE478}" type="pres">
      <dgm:prSet presAssocID="{E2EA3DBF-0B05-4BE9-80CF-CD8065633172}" presName="Name37" presStyleLbl="parChTrans1D2" presStyleIdx="0" presStyleCnt="4"/>
      <dgm:spPr/>
    </dgm:pt>
    <dgm:pt modelId="{1575CE88-5799-4DA5-9BC6-09897D82DF48}" type="pres">
      <dgm:prSet presAssocID="{A5AE3037-5CDE-48B1-980D-BF755907F721}" presName="hierRoot2" presStyleCnt="0">
        <dgm:presLayoutVars>
          <dgm:hierBranch val="init"/>
        </dgm:presLayoutVars>
      </dgm:prSet>
      <dgm:spPr/>
    </dgm:pt>
    <dgm:pt modelId="{F09DB981-3CD5-4201-8323-D09C948E8960}" type="pres">
      <dgm:prSet presAssocID="{A5AE3037-5CDE-48B1-980D-BF755907F721}" presName="rootComposite" presStyleCnt="0"/>
      <dgm:spPr/>
    </dgm:pt>
    <dgm:pt modelId="{42D1E0BE-354F-4E3C-8806-1977ECF66EA1}" type="pres">
      <dgm:prSet presAssocID="{A5AE3037-5CDE-48B1-980D-BF755907F721}" presName="rootText" presStyleLbl="node2" presStyleIdx="0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6280D6AE-52C6-48FA-A310-9B841171A626}" type="pres">
      <dgm:prSet presAssocID="{A5AE3037-5CDE-48B1-980D-BF755907F721}" presName="rootConnector" presStyleLbl="node2" presStyleIdx="0" presStyleCnt="4"/>
      <dgm:spPr/>
    </dgm:pt>
    <dgm:pt modelId="{E2551EF9-F6B8-4D10-ADCE-CA18AB6F6C19}" type="pres">
      <dgm:prSet presAssocID="{A5AE3037-5CDE-48B1-980D-BF755907F721}" presName="hierChild4" presStyleCnt="0"/>
      <dgm:spPr/>
    </dgm:pt>
    <dgm:pt modelId="{24BF0753-546B-46C2-86A1-B85748862C03}" type="pres">
      <dgm:prSet presAssocID="{3EE6172B-B803-440C-92DD-765D3BC6ACDB}" presName="Name37" presStyleLbl="parChTrans1D3" presStyleIdx="0" presStyleCnt="11"/>
      <dgm:spPr/>
    </dgm:pt>
    <dgm:pt modelId="{8697166C-E6C4-4FAC-9932-876C66AFF466}" type="pres">
      <dgm:prSet presAssocID="{F56A11B0-F829-4403-B03B-66574A081A1D}" presName="hierRoot2" presStyleCnt="0">
        <dgm:presLayoutVars>
          <dgm:hierBranch val="init"/>
        </dgm:presLayoutVars>
      </dgm:prSet>
      <dgm:spPr/>
    </dgm:pt>
    <dgm:pt modelId="{288D150C-2503-4F00-B391-0AABDF1A2B25}" type="pres">
      <dgm:prSet presAssocID="{F56A11B0-F829-4403-B03B-66574A081A1D}" presName="rootComposite" presStyleCnt="0"/>
      <dgm:spPr/>
    </dgm:pt>
    <dgm:pt modelId="{6D82EA0F-014F-47C5-883A-DB387EA6CDAE}" type="pres">
      <dgm:prSet presAssocID="{F56A11B0-F829-4403-B03B-66574A081A1D}" presName="rootText" presStyleLbl="node3" presStyleIdx="0" presStyleCnt="11" custScaleX="268674" custScaleY="134337">
        <dgm:presLayoutVars>
          <dgm:chPref val="3"/>
        </dgm:presLayoutVars>
      </dgm:prSet>
      <dgm:spPr>
        <a:prstGeom prst="roundRect">
          <a:avLst/>
        </a:prstGeom>
      </dgm:spPr>
    </dgm:pt>
    <dgm:pt modelId="{F512030C-FBC5-4D3B-A89E-F874314E7A02}" type="pres">
      <dgm:prSet presAssocID="{F56A11B0-F829-4403-B03B-66574A081A1D}" presName="rootConnector" presStyleLbl="node3" presStyleIdx="0" presStyleCnt="11"/>
      <dgm:spPr/>
    </dgm:pt>
    <dgm:pt modelId="{EEE75C39-9E08-4ACA-8276-F910AEA8229E}" type="pres">
      <dgm:prSet presAssocID="{F56A11B0-F829-4403-B03B-66574A081A1D}" presName="hierChild4" presStyleCnt="0"/>
      <dgm:spPr/>
    </dgm:pt>
    <dgm:pt modelId="{FC544A9F-2494-4136-ADB2-6C417971A872}" type="pres">
      <dgm:prSet presAssocID="{F56A11B0-F829-4403-B03B-66574A081A1D}" presName="hierChild5" presStyleCnt="0"/>
      <dgm:spPr/>
    </dgm:pt>
    <dgm:pt modelId="{E3C07E89-C63D-4449-9138-B5EE3042C7A8}" type="pres">
      <dgm:prSet presAssocID="{4ECF0464-F6E6-4CE3-8866-0ED853614CC9}" presName="Name37" presStyleLbl="parChTrans1D3" presStyleIdx="1" presStyleCnt="11"/>
      <dgm:spPr/>
    </dgm:pt>
    <dgm:pt modelId="{21231F1F-CAD0-4EB2-A434-8F3A9A0C0BD5}" type="pres">
      <dgm:prSet presAssocID="{2FFF8319-69F4-486B-882F-5B37384F1260}" presName="hierRoot2" presStyleCnt="0">
        <dgm:presLayoutVars>
          <dgm:hierBranch val="init"/>
        </dgm:presLayoutVars>
      </dgm:prSet>
      <dgm:spPr/>
    </dgm:pt>
    <dgm:pt modelId="{875569A0-C5C9-4FF7-87B8-70C23F8F6DD7}" type="pres">
      <dgm:prSet presAssocID="{2FFF8319-69F4-486B-882F-5B37384F1260}" presName="rootComposite" presStyleCnt="0"/>
      <dgm:spPr/>
    </dgm:pt>
    <dgm:pt modelId="{16466F66-21BE-440C-AFE1-27401EFCD165}" type="pres">
      <dgm:prSet presAssocID="{2FFF8319-69F4-486B-882F-5B37384F1260}" presName="rootText" presStyleLbl="node3" presStyleIdx="1" presStyleCnt="11" custScaleX="268674" custScaleY="134337" custLinFactNeighborX="2150">
        <dgm:presLayoutVars>
          <dgm:chPref val="3"/>
        </dgm:presLayoutVars>
      </dgm:prSet>
      <dgm:spPr>
        <a:xfrm>
          <a:off x="523157" y="1741922"/>
          <a:ext cx="1756739" cy="439184"/>
        </a:xfrm>
        <a:prstGeom prst="roundRect">
          <a:avLst/>
        </a:prstGeom>
      </dgm:spPr>
    </dgm:pt>
    <dgm:pt modelId="{D53A79D7-A77E-459E-B55D-EB99EE7432DA}" type="pres">
      <dgm:prSet presAssocID="{2FFF8319-69F4-486B-882F-5B37384F1260}" presName="rootConnector" presStyleLbl="node3" presStyleIdx="1" presStyleCnt="11"/>
      <dgm:spPr/>
    </dgm:pt>
    <dgm:pt modelId="{BC9CDFBC-A3BD-4452-8253-FC21870E061E}" type="pres">
      <dgm:prSet presAssocID="{2FFF8319-69F4-486B-882F-5B37384F1260}" presName="hierChild4" presStyleCnt="0"/>
      <dgm:spPr/>
    </dgm:pt>
    <dgm:pt modelId="{72FF905A-11BA-41AD-B5F5-3E7D0248EAC5}" type="pres">
      <dgm:prSet presAssocID="{2FFF8319-69F4-486B-882F-5B37384F1260}" presName="hierChild5" presStyleCnt="0"/>
      <dgm:spPr/>
    </dgm:pt>
    <dgm:pt modelId="{A87082C9-45F3-410C-83B8-8C1C4E93FA1C}" type="pres">
      <dgm:prSet presAssocID="{A716377B-5CE5-4BB0-887C-C66ADEDEFCD0}" presName="Name37" presStyleLbl="parChTrans1D3" presStyleIdx="2" presStyleCnt="11"/>
      <dgm:spPr/>
    </dgm:pt>
    <dgm:pt modelId="{5829CBEC-FF79-45A1-A645-BDDC9CDFC4C1}" type="pres">
      <dgm:prSet presAssocID="{5CAD7F8E-2D4B-494E-A9B3-8662F2F1C876}" presName="hierRoot2" presStyleCnt="0">
        <dgm:presLayoutVars>
          <dgm:hierBranch val="init"/>
        </dgm:presLayoutVars>
      </dgm:prSet>
      <dgm:spPr/>
    </dgm:pt>
    <dgm:pt modelId="{3385CAAA-3FDB-49A4-A502-B8C3537CDCA1}" type="pres">
      <dgm:prSet presAssocID="{5CAD7F8E-2D4B-494E-A9B3-8662F2F1C876}" presName="rootComposite" presStyleCnt="0"/>
      <dgm:spPr/>
    </dgm:pt>
    <dgm:pt modelId="{2841514A-A0DB-45C8-A350-781612C53CB7}" type="pres">
      <dgm:prSet presAssocID="{5CAD7F8E-2D4B-494E-A9B3-8662F2F1C876}" presName="rootText" presStyleLbl="node3" presStyleIdx="2" presStyleCnt="11" custScaleX="268674" custScaleY="134337">
        <dgm:presLayoutVars>
          <dgm:chPref val="3"/>
        </dgm:presLayoutVars>
      </dgm:prSet>
      <dgm:spPr>
        <a:xfrm>
          <a:off x="509100" y="2318416"/>
          <a:ext cx="1756739" cy="439184"/>
        </a:xfrm>
        <a:prstGeom prst="roundRect">
          <a:avLst/>
        </a:prstGeom>
      </dgm:spPr>
    </dgm:pt>
    <dgm:pt modelId="{669661FF-25DD-4243-AB62-68FDBEE0DB7C}" type="pres">
      <dgm:prSet presAssocID="{5CAD7F8E-2D4B-494E-A9B3-8662F2F1C876}" presName="rootConnector" presStyleLbl="node3" presStyleIdx="2" presStyleCnt="11"/>
      <dgm:spPr/>
    </dgm:pt>
    <dgm:pt modelId="{67183722-17A1-4727-AAA6-0A14AB58ED05}" type="pres">
      <dgm:prSet presAssocID="{5CAD7F8E-2D4B-494E-A9B3-8662F2F1C876}" presName="hierChild4" presStyleCnt="0"/>
      <dgm:spPr/>
    </dgm:pt>
    <dgm:pt modelId="{10FEBB28-75D6-4A28-A5E8-76720F8194DB}" type="pres">
      <dgm:prSet presAssocID="{5CAD7F8E-2D4B-494E-A9B3-8662F2F1C876}" presName="hierChild5" presStyleCnt="0"/>
      <dgm:spPr/>
    </dgm:pt>
    <dgm:pt modelId="{0BA468DC-1E4F-47B6-834D-E8FC08A235B4}" type="pres">
      <dgm:prSet presAssocID="{A5AE3037-5CDE-48B1-980D-BF755907F721}" presName="hierChild5" presStyleCnt="0"/>
      <dgm:spPr/>
    </dgm:pt>
    <dgm:pt modelId="{F92DD1E1-B9A1-46FB-97E4-955B61300390}" type="pres">
      <dgm:prSet presAssocID="{DC323120-D202-4A8E-953D-322761F16AE2}" presName="Name37" presStyleLbl="parChTrans1D2" presStyleIdx="1" presStyleCnt="4"/>
      <dgm:spPr/>
    </dgm:pt>
    <dgm:pt modelId="{A9655281-1A11-48A7-A397-28B2365A7821}" type="pres">
      <dgm:prSet presAssocID="{1007B6F3-05BC-4F7A-8E1A-37C08373F646}" presName="hierRoot2" presStyleCnt="0">
        <dgm:presLayoutVars>
          <dgm:hierBranch val="init"/>
        </dgm:presLayoutVars>
      </dgm:prSet>
      <dgm:spPr/>
    </dgm:pt>
    <dgm:pt modelId="{16DF5A1D-F328-4D8F-9A64-679F012C89FD}" type="pres">
      <dgm:prSet presAssocID="{1007B6F3-05BC-4F7A-8E1A-37C08373F646}" presName="rootComposite" presStyleCnt="0"/>
      <dgm:spPr/>
    </dgm:pt>
    <dgm:pt modelId="{1BE2E877-A98C-4F5E-B162-7E381A985946}" type="pres">
      <dgm:prSet presAssocID="{1007B6F3-05BC-4F7A-8E1A-37C08373F646}" presName="rootText" presStyleLbl="node2" presStyleIdx="1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71E225-D9F5-478B-8A95-DB5AA24C6662}" type="pres">
      <dgm:prSet presAssocID="{1007B6F3-05BC-4F7A-8E1A-37C08373F646}" presName="rootConnector" presStyleLbl="node2" presStyleIdx="1" presStyleCnt="4"/>
      <dgm:spPr/>
    </dgm:pt>
    <dgm:pt modelId="{68EA9830-A38B-4137-AD59-A7E86F6FAAA7}" type="pres">
      <dgm:prSet presAssocID="{1007B6F3-05BC-4F7A-8E1A-37C08373F646}" presName="hierChild4" presStyleCnt="0"/>
      <dgm:spPr/>
    </dgm:pt>
    <dgm:pt modelId="{FE6A734C-CD98-41BA-B25A-1C4D4AE8317A}" type="pres">
      <dgm:prSet presAssocID="{1768B429-B295-4E12-A4E5-2959760A26BB}" presName="Name37" presStyleLbl="parChTrans1D3" presStyleIdx="3" presStyleCnt="11"/>
      <dgm:spPr/>
    </dgm:pt>
    <dgm:pt modelId="{0CFBA51D-31D1-471A-9BC7-2CEB9D7C399F}" type="pres">
      <dgm:prSet presAssocID="{882B9642-DB5D-4415-8141-174046543928}" presName="hierRoot2" presStyleCnt="0">
        <dgm:presLayoutVars>
          <dgm:hierBranch val="init"/>
        </dgm:presLayoutVars>
      </dgm:prSet>
      <dgm:spPr/>
    </dgm:pt>
    <dgm:pt modelId="{0D15A8F0-925F-4930-A883-35E4E6551285}" type="pres">
      <dgm:prSet presAssocID="{882B9642-DB5D-4415-8141-174046543928}" presName="rootComposite" presStyleCnt="0"/>
      <dgm:spPr/>
    </dgm:pt>
    <dgm:pt modelId="{6A43EABD-03AA-415F-BE3A-2DD31AB048C5}" type="pres">
      <dgm:prSet presAssocID="{882B9642-DB5D-4415-8141-174046543928}" presName="rootText" presStyleLbl="node3" presStyleIdx="3" presStyleCnt="11" custScaleX="268674" custScaleY="134337">
        <dgm:presLayoutVars>
          <dgm:chPref val="3"/>
        </dgm:presLayoutVars>
      </dgm:prSet>
      <dgm:spPr>
        <a:xfrm>
          <a:off x="2674093" y="1165427"/>
          <a:ext cx="1756739" cy="439184"/>
        </a:xfrm>
        <a:prstGeom prst="roundRect">
          <a:avLst/>
        </a:prstGeom>
      </dgm:spPr>
    </dgm:pt>
    <dgm:pt modelId="{DECA7EAF-1BEF-41A3-ABB3-5EAA3BAAF462}" type="pres">
      <dgm:prSet presAssocID="{882B9642-DB5D-4415-8141-174046543928}" presName="rootConnector" presStyleLbl="node3" presStyleIdx="3" presStyleCnt="11"/>
      <dgm:spPr/>
    </dgm:pt>
    <dgm:pt modelId="{D85C8B7E-C5E4-4E2B-A51E-8DED9E096F4F}" type="pres">
      <dgm:prSet presAssocID="{882B9642-DB5D-4415-8141-174046543928}" presName="hierChild4" presStyleCnt="0"/>
      <dgm:spPr/>
    </dgm:pt>
    <dgm:pt modelId="{9A795A8B-98A0-4E3A-8C63-BBCD9EC7B428}" type="pres">
      <dgm:prSet presAssocID="{882B9642-DB5D-4415-8141-174046543928}" presName="hierChild5" presStyleCnt="0"/>
      <dgm:spPr/>
    </dgm:pt>
    <dgm:pt modelId="{D978C072-8E92-43C4-91B3-F3E661B7ABAC}" type="pres">
      <dgm:prSet presAssocID="{FA1804DE-9856-4A08-B6E3-E8E7C1EC73C0}" presName="Name37" presStyleLbl="parChTrans1D3" presStyleIdx="4" presStyleCnt="11"/>
      <dgm:spPr/>
    </dgm:pt>
    <dgm:pt modelId="{4BE219A9-D29C-4EF0-AD63-17317A4642BE}" type="pres">
      <dgm:prSet presAssocID="{8B0EAEC7-B4D5-4CF1-85E4-FC7CBAB245A6}" presName="hierRoot2" presStyleCnt="0">
        <dgm:presLayoutVars>
          <dgm:hierBranch val="init"/>
        </dgm:presLayoutVars>
      </dgm:prSet>
      <dgm:spPr/>
    </dgm:pt>
    <dgm:pt modelId="{33E3FF0E-3075-4C97-9AB8-B35A81D99026}" type="pres">
      <dgm:prSet presAssocID="{8B0EAEC7-B4D5-4CF1-85E4-FC7CBAB245A6}" presName="rootComposite" presStyleCnt="0"/>
      <dgm:spPr/>
    </dgm:pt>
    <dgm:pt modelId="{19B89C79-DE41-4F48-9743-7325556D13A7}" type="pres">
      <dgm:prSet presAssocID="{8B0EAEC7-B4D5-4CF1-85E4-FC7CBAB245A6}" presName="rootText" presStyleLbl="node3" presStyleIdx="4" presStyleCnt="11" custScaleX="268674" custScaleY="134337">
        <dgm:presLayoutVars>
          <dgm:chPref val="3"/>
        </dgm:presLayoutVars>
      </dgm:prSet>
      <dgm:spPr>
        <a:xfrm>
          <a:off x="2674093" y="1741922"/>
          <a:ext cx="1756739" cy="439184"/>
        </a:xfrm>
        <a:prstGeom prst="roundRect">
          <a:avLst/>
        </a:prstGeom>
      </dgm:spPr>
    </dgm:pt>
    <dgm:pt modelId="{135572E7-D0A9-47F1-B57C-3842E7D4BA7A}" type="pres">
      <dgm:prSet presAssocID="{8B0EAEC7-B4D5-4CF1-85E4-FC7CBAB245A6}" presName="rootConnector" presStyleLbl="node3" presStyleIdx="4" presStyleCnt="11"/>
      <dgm:spPr/>
    </dgm:pt>
    <dgm:pt modelId="{E0086AA6-9892-483C-8BF3-8DFA11CB0C89}" type="pres">
      <dgm:prSet presAssocID="{8B0EAEC7-B4D5-4CF1-85E4-FC7CBAB245A6}" presName="hierChild4" presStyleCnt="0"/>
      <dgm:spPr/>
    </dgm:pt>
    <dgm:pt modelId="{294FCD5E-48DF-44D1-87AD-8120DD61C071}" type="pres">
      <dgm:prSet presAssocID="{8B0EAEC7-B4D5-4CF1-85E4-FC7CBAB245A6}" presName="hierChild5" presStyleCnt="0"/>
      <dgm:spPr/>
    </dgm:pt>
    <dgm:pt modelId="{8E487ED1-854B-4A52-9737-AAF07A5B6561}" type="pres">
      <dgm:prSet presAssocID="{3DA5B83C-D6D6-4F7C-810E-D00E25F2DA99}" presName="Name37" presStyleLbl="parChTrans1D3" presStyleIdx="5" presStyleCnt="11"/>
      <dgm:spPr/>
    </dgm:pt>
    <dgm:pt modelId="{0EDA9EF3-F649-4B52-AB88-688C9B52ADAD}" type="pres">
      <dgm:prSet presAssocID="{0202D3B0-F039-4A45-9B54-52DE61CC6EBF}" presName="hierRoot2" presStyleCnt="0">
        <dgm:presLayoutVars>
          <dgm:hierBranch val="init"/>
        </dgm:presLayoutVars>
      </dgm:prSet>
      <dgm:spPr/>
    </dgm:pt>
    <dgm:pt modelId="{B6A5BF6A-F825-4E87-9BF1-F12F0E1A2824}" type="pres">
      <dgm:prSet presAssocID="{0202D3B0-F039-4A45-9B54-52DE61CC6EBF}" presName="rootComposite" presStyleCnt="0"/>
      <dgm:spPr/>
    </dgm:pt>
    <dgm:pt modelId="{0E67771F-D6B3-42E0-A4EC-8EA8EA99163C}" type="pres">
      <dgm:prSet presAssocID="{0202D3B0-F039-4A45-9B54-52DE61CC6EBF}" presName="rootText" presStyleLbl="node3" presStyleIdx="5" presStyleCnt="11" custScaleX="268674" custScaleY="134337">
        <dgm:presLayoutVars>
          <dgm:chPref val="3"/>
        </dgm:presLayoutVars>
      </dgm:prSet>
      <dgm:spPr>
        <a:xfrm>
          <a:off x="2674093" y="2318416"/>
          <a:ext cx="1756739" cy="439184"/>
        </a:xfrm>
        <a:prstGeom prst="roundRect">
          <a:avLst/>
        </a:prstGeom>
      </dgm:spPr>
    </dgm:pt>
    <dgm:pt modelId="{56227AB4-9AF1-4700-B97A-335834EB032E}" type="pres">
      <dgm:prSet presAssocID="{0202D3B0-F039-4A45-9B54-52DE61CC6EBF}" presName="rootConnector" presStyleLbl="node3" presStyleIdx="5" presStyleCnt="11"/>
      <dgm:spPr/>
    </dgm:pt>
    <dgm:pt modelId="{5913F22F-50C4-401C-9266-A98924DA7048}" type="pres">
      <dgm:prSet presAssocID="{0202D3B0-F039-4A45-9B54-52DE61CC6EBF}" presName="hierChild4" presStyleCnt="0"/>
      <dgm:spPr/>
    </dgm:pt>
    <dgm:pt modelId="{2A7854A4-11CB-4163-A81B-CB4274046604}" type="pres">
      <dgm:prSet presAssocID="{0202D3B0-F039-4A45-9B54-52DE61CC6EBF}" presName="hierChild5" presStyleCnt="0"/>
      <dgm:spPr/>
    </dgm:pt>
    <dgm:pt modelId="{B9E18785-60C1-46A6-89DB-EFB0849FC9C4}" type="pres">
      <dgm:prSet presAssocID="{1007B6F3-05BC-4F7A-8E1A-37C08373F646}" presName="hierChild5" presStyleCnt="0"/>
      <dgm:spPr/>
    </dgm:pt>
    <dgm:pt modelId="{0D136685-5600-4E30-BED0-84E704D24193}" type="pres">
      <dgm:prSet presAssocID="{474A8C66-2F0D-4397-874A-DDCABFDC54EB}" presName="Name37" presStyleLbl="parChTrans1D2" presStyleIdx="2" presStyleCnt="4"/>
      <dgm:spPr/>
    </dgm:pt>
    <dgm:pt modelId="{646878FC-A1C4-4169-97C2-0F25682FDB8A}" type="pres">
      <dgm:prSet presAssocID="{F69D1FAD-E8C8-4443-9C53-33D08E3DE8CE}" presName="hierRoot2" presStyleCnt="0">
        <dgm:presLayoutVars>
          <dgm:hierBranch val="init"/>
        </dgm:presLayoutVars>
      </dgm:prSet>
      <dgm:spPr/>
    </dgm:pt>
    <dgm:pt modelId="{B1B56372-9E70-4A18-ABC7-31AC6F3A3149}" type="pres">
      <dgm:prSet presAssocID="{F69D1FAD-E8C8-4443-9C53-33D08E3DE8CE}" presName="rootComposite" presStyleCnt="0"/>
      <dgm:spPr/>
    </dgm:pt>
    <dgm:pt modelId="{F929D97E-86BE-4488-B496-35906E1F9CAE}" type="pres">
      <dgm:prSet presAssocID="{F69D1FAD-E8C8-4443-9C53-33D08E3DE8CE}" presName="rootText" presStyleLbl="node2" presStyleIdx="2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55BC7D-DAC9-4057-99DB-72B0147F93F2}" type="pres">
      <dgm:prSet presAssocID="{F69D1FAD-E8C8-4443-9C53-33D08E3DE8CE}" presName="rootConnector" presStyleLbl="node2" presStyleIdx="2" presStyleCnt="4"/>
      <dgm:spPr/>
    </dgm:pt>
    <dgm:pt modelId="{44A9F1B2-39FB-45A3-AB69-4CDFB5D6C1C0}" type="pres">
      <dgm:prSet presAssocID="{F69D1FAD-E8C8-4443-9C53-33D08E3DE8CE}" presName="hierChild4" presStyleCnt="0"/>
      <dgm:spPr/>
    </dgm:pt>
    <dgm:pt modelId="{3BF4E0A2-533F-46EF-B1EF-8466DEC47284}" type="pres">
      <dgm:prSet presAssocID="{7B0DE2BE-30B8-41A2-9742-9F7D501ABEE0}" presName="Name37" presStyleLbl="parChTrans1D3" presStyleIdx="6" presStyleCnt="11"/>
      <dgm:spPr/>
    </dgm:pt>
    <dgm:pt modelId="{DC2ABF01-CA2C-4A00-AEB8-54EB3DDBCB56}" type="pres">
      <dgm:prSet presAssocID="{4B850433-3650-48AA-859B-F06BE9D5D2A1}" presName="hierRoot2" presStyleCnt="0">
        <dgm:presLayoutVars>
          <dgm:hierBranch val="init"/>
        </dgm:presLayoutVars>
      </dgm:prSet>
      <dgm:spPr/>
    </dgm:pt>
    <dgm:pt modelId="{4DB6B53A-C791-4485-8973-ADD55BCD34BF}" type="pres">
      <dgm:prSet presAssocID="{4B850433-3650-48AA-859B-F06BE9D5D2A1}" presName="rootComposite" presStyleCnt="0"/>
      <dgm:spPr/>
    </dgm:pt>
    <dgm:pt modelId="{A53EE3FD-0868-455B-8BBA-76212B84AD2F}" type="pres">
      <dgm:prSet presAssocID="{4B850433-3650-48AA-859B-F06BE9D5D2A1}" presName="rootText" presStyleLbl="node3" presStyleIdx="6" presStyleCnt="11" custScaleX="268674" custScaleY="134337">
        <dgm:presLayoutVars>
          <dgm:chPref val="3"/>
        </dgm:presLayoutVars>
      </dgm:prSet>
      <dgm:spPr>
        <a:xfrm>
          <a:off x="4839087" y="1165427"/>
          <a:ext cx="1756739" cy="439184"/>
        </a:xfrm>
        <a:prstGeom prst="roundRect">
          <a:avLst/>
        </a:prstGeom>
      </dgm:spPr>
    </dgm:pt>
    <dgm:pt modelId="{C24ACD5D-4A90-452B-B807-DD2ACB3F82D7}" type="pres">
      <dgm:prSet presAssocID="{4B850433-3650-48AA-859B-F06BE9D5D2A1}" presName="rootConnector" presStyleLbl="node3" presStyleIdx="6" presStyleCnt="11"/>
      <dgm:spPr/>
    </dgm:pt>
    <dgm:pt modelId="{E04CFBD4-1794-4811-9482-8593FC119F23}" type="pres">
      <dgm:prSet presAssocID="{4B850433-3650-48AA-859B-F06BE9D5D2A1}" presName="hierChild4" presStyleCnt="0"/>
      <dgm:spPr/>
    </dgm:pt>
    <dgm:pt modelId="{78B4F3FE-F575-4231-B68B-11F8300430B1}" type="pres">
      <dgm:prSet presAssocID="{4B850433-3650-48AA-859B-F06BE9D5D2A1}" presName="hierChild5" presStyleCnt="0"/>
      <dgm:spPr/>
    </dgm:pt>
    <dgm:pt modelId="{FD2BD50E-D384-49FE-BB00-71E6AEEEE500}" type="pres">
      <dgm:prSet presAssocID="{A3C9C18B-9E10-4A65-87A8-C6D2F29C4622}" presName="Name37" presStyleLbl="parChTrans1D3" presStyleIdx="7" presStyleCnt="11"/>
      <dgm:spPr/>
    </dgm:pt>
    <dgm:pt modelId="{C2D4CFC6-EDEA-4994-85C4-82C320A7C677}" type="pres">
      <dgm:prSet presAssocID="{BAD477F3-63B5-42EE-B3B5-05689244E517}" presName="hierRoot2" presStyleCnt="0">
        <dgm:presLayoutVars>
          <dgm:hierBranch val="init"/>
        </dgm:presLayoutVars>
      </dgm:prSet>
      <dgm:spPr/>
    </dgm:pt>
    <dgm:pt modelId="{D088533D-A6D4-42DD-8549-CE6D6612641C}" type="pres">
      <dgm:prSet presAssocID="{BAD477F3-63B5-42EE-B3B5-05689244E517}" presName="rootComposite" presStyleCnt="0"/>
      <dgm:spPr/>
    </dgm:pt>
    <dgm:pt modelId="{1BB92FE5-CE5A-41FE-B673-C4A4F62BF5AB}" type="pres">
      <dgm:prSet presAssocID="{BAD477F3-63B5-42EE-B3B5-05689244E517}" presName="rootText" presStyleLbl="node3" presStyleIdx="7" presStyleCnt="11" custScaleX="268674" custScaleY="134337">
        <dgm:presLayoutVars>
          <dgm:chPref val="3"/>
        </dgm:presLayoutVars>
      </dgm:prSet>
      <dgm:spPr>
        <a:xfrm>
          <a:off x="4839087" y="1741922"/>
          <a:ext cx="1756739" cy="439184"/>
        </a:xfrm>
        <a:prstGeom prst="roundRect">
          <a:avLst/>
        </a:prstGeom>
      </dgm:spPr>
    </dgm:pt>
    <dgm:pt modelId="{C55C49B2-409B-4525-9D61-0D463E355467}" type="pres">
      <dgm:prSet presAssocID="{BAD477F3-63B5-42EE-B3B5-05689244E517}" presName="rootConnector" presStyleLbl="node3" presStyleIdx="7" presStyleCnt="11"/>
      <dgm:spPr/>
    </dgm:pt>
    <dgm:pt modelId="{01E9F9E7-41C4-4196-B067-4AA632BDE21D}" type="pres">
      <dgm:prSet presAssocID="{BAD477F3-63B5-42EE-B3B5-05689244E517}" presName="hierChild4" presStyleCnt="0"/>
      <dgm:spPr/>
    </dgm:pt>
    <dgm:pt modelId="{16BFCAC6-DC2E-45FA-B317-635DF3BD8F62}" type="pres">
      <dgm:prSet presAssocID="{BAD477F3-63B5-42EE-B3B5-05689244E517}" presName="hierChild5" presStyleCnt="0"/>
      <dgm:spPr/>
    </dgm:pt>
    <dgm:pt modelId="{FEA01142-F62E-4F09-955A-6EF0C7069331}" type="pres">
      <dgm:prSet presAssocID="{9190B60C-4242-4AB8-BE76-B364159818C9}" presName="Name37" presStyleLbl="parChTrans1D3" presStyleIdx="8" presStyleCnt="11"/>
      <dgm:spPr/>
    </dgm:pt>
    <dgm:pt modelId="{F53AEB9B-37A0-47A7-9844-7F512AC66904}" type="pres">
      <dgm:prSet presAssocID="{367DA472-A6B5-4A65-AA92-ABD67FD1CC00}" presName="hierRoot2" presStyleCnt="0">
        <dgm:presLayoutVars>
          <dgm:hierBranch val="init"/>
        </dgm:presLayoutVars>
      </dgm:prSet>
      <dgm:spPr/>
    </dgm:pt>
    <dgm:pt modelId="{5BDCB8CB-9218-4565-AD2A-723662D72680}" type="pres">
      <dgm:prSet presAssocID="{367DA472-A6B5-4A65-AA92-ABD67FD1CC00}" presName="rootComposite" presStyleCnt="0"/>
      <dgm:spPr/>
    </dgm:pt>
    <dgm:pt modelId="{B509DCB6-92BF-408D-9332-348533AC8AE4}" type="pres">
      <dgm:prSet presAssocID="{367DA472-A6B5-4A65-AA92-ABD67FD1CC00}" presName="rootText" presStyleLbl="node3" presStyleIdx="8" presStyleCnt="11" custScaleX="268674" custScaleY="134337">
        <dgm:presLayoutVars>
          <dgm:chPref val="3"/>
        </dgm:presLayoutVars>
      </dgm:prSet>
      <dgm:spPr>
        <a:xfrm>
          <a:off x="4839087" y="2318416"/>
          <a:ext cx="1756739" cy="439184"/>
        </a:xfrm>
        <a:prstGeom prst="roundRect">
          <a:avLst/>
        </a:prstGeom>
      </dgm:spPr>
    </dgm:pt>
    <dgm:pt modelId="{260E8905-E423-4F36-BAD2-9471CD368CFA}" type="pres">
      <dgm:prSet presAssocID="{367DA472-A6B5-4A65-AA92-ABD67FD1CC00}" presName="rootConnector" presStyleLbl="node3" presStyleIdx="8" presStyleCnt="11"/>
      <dgm:spPr/>
    </dgm:pt>
    <dgm:pt modelId="{5477AFEF-68F3-4E40-A383-B71021CC1C12}" type="pres">
      <dgm:prSet presAssocID="{367DA472-A6B5-4A65-AA92-ABD67FD1CC00}" presName="hierChild4" presStyleCnt="0"/>
      <dgm:spPr/>
    </dgm:pt>
    <dgm:pt modelId="{C9993A71-F16C-4C0F-90DE-5F6B5DE2D2C9}" type="pres">
      <dgm:prSet presAssocID="{367DA472-A6B5-4A65-AA92-ABD67FD1CC00}" presName="hierChild5" presStyleCnt="0"/>
      <dgm:spPr/>
    </dgm:pt>
    <dgm:pt modelId="{24437570-CAF3-40CD-AC31-3F36F640E640}" type="pres">
      <dgm:prSet presAssocID="{F69D1FAD-E8C8-4443-9C53-33D08E3DE8CE}" presName="hierChild5" presStyleCnt="0"/>
      <dgm:spPr/>
    </dgm:pt>
    <dgm:pt modelId="{93F63975-AD3A-48CE-8A6A-39CA9BB236AA}" type="pres">
      <dgm:prSet presAssocID="{759A86B6-2F79-4936-8581-07D0B45049CD}" presName="Name37" presStyleLbl="parChTrans1D2" presStyleIdx="3" presStyleCnt="4"/>
      <dgm:spPr/>
    </dgm:pt>
    <dgm:pt modelId="{49325649-D094-4BD1-A2F7-B0C137CD3783}" type="pres">
      <dgm:prSet presAssocID="{ED054F05-DECF-448A-832E-B98612B081A1}" presName="hierRoot2" presStyleCnt="0">
        <dgm:presLayoutVars>
          <dgm:hierBranch val="init"/>
        </dgm:presLayoutVars>
      </dgm:prSet>
      <dgm:spPr/>
    </dgm:pt>
    <dgm:pt modelId="{70789CCD-8B0C-49CD-B4B8-0C065B45323F}" type="pres">
      <dgm:prSet presAssocID="{ED054F05-DECF-448A-832E-B98612B081A1}" presName="rootComposite" presStyleCnt="0"/>
      <dgm:spPr/>
    </dgm:pt>
    <dgm:pt modelId="{0A209B85-31FA-4E41-BE45-2EB0F430555C}" type="pres">
      <dgm:prSet presAssocID="{ED054F05-DECF-448A-832E-B98612B081A1}" presName="rootText" presStyleLbl="node2" presStyleIdx="3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93AA080D-57AE-4E81-958D-F9A1D38E6CF3}" type="pres">
      <dgm:prSet presAssocID="{ED054F05-DECF-448A-832E-B98612B081A1}" presName="rootConnector" presStyleLbl="node2" presStyleIdx="3" presStyleCnt="4"/>
      <dgm:spPr/>
    </dgm:pt>
    <dgm:pt modelId="{5B8EF062-37A5-49E6-A886-57B55A36AD80}" type="pres">
      <dgm:prSet presAssocID="{ED054F05-DECF-448A-832E-B98612B081A1}" presName="hierChild4" presStyleCnt="0"/>
      <dgm:spPr/>
    </dgm:pt>
    <dgm:pt modelId="{07890C3C-0C34-43C6-B53A-43502EC7872E}" type="pres">
      <dgm:prSet presAssocID="{E0E28DCF-A5AB-4C9B-8D6E-5C57C3D6B80D}" presName="Name37" presStyleLbl="parChTrans1D3" presStyleIdx="9" presStyleCnt="11"/>
      <dgm:spPr/>
    </dgm:pt>
    <dgm:pt modelId="{E81F8071-148A-4763-8EFF-7359EBC8DE40}" type="pres">
      <dgm:prSet presAssocID="{728EF172-F1A2-4630-ACBD-09151A8D42E0}" presName="hierRoot2" presStyleCnt="0">
        <dgm:presLayoutVars>
          <dgm:hierBranch val="init"/>
        </dgm:presLayoutVars>
      </dgm:prSet>
      <dgm:spPr/>
    </dgm:pt>
    <dgm:pt modelId="{FDD95A59-FDE0-4E38-BD3F-1AEE9AAEC663}" type="pres">
      <dgm:prSet presAssocID="{728EF172-F1A2-4630-ACBD-09151A8D42E0}" presName="rootComposite" presStyleCnt="0"/>
      <dgm:spPr/>
    </dgm:pt>
    <dgm:pt modelId="{25CBE439-FF8E-48F7-B5EE-F025139ED159}" type="pres">
      <dgm:prSet presAssocID="{728EF172-F1A2-4630-ACBD-09151A8D42E0}" presName="rootText" presStyleLbl="node3" presStyleIdx="9" presStyleCnt="11" custScaleX="268674" custScaleY="134337">
        <dgm:presLayoutVars>
          <dgm:chPref val="3"/>
        </dgm:presLayoutVars>
      </dgm:prSet>
      <dgm:spPr>
        <a:xfrm>
          <a:off x="7004081" y="1165427"/>
          <a:ext cx="1756739" cy="439184"/>
        </a:xfrm>
        <a:prstGeom prst="roundRect">
          <a:avLst/>
        </a:prstGeom>
      </dgm:spPr>
    </dgm:pt>
    <dgm:pt modelId="{EA9065D7-9704-4C0A-8D0D-77EE2F0AF926}" type="pres">
      <dgm:prSet presAssocID="{728EF172-F1A2-4630-ACBD-09151A8D42E0}" presName="rootConnector" presStyleLbl="node3" presStyleIdx="9" presStyleCnt="11"/>
      <dgm:spPr/>
    </dgm:pt>
    <dgm:pt modelId="{D70D0C17-EA0F-4EA2-88B8-05912BDCDDF2}" type="pres">
      <dgm:prSet presAssocID="{728EF172-F1A2-4630-ACBD-09151A8D42E0}" presName="hierChild4" presStyleCnt="0"/>
      <dgm:spPr/>
    </dgm:pt>
    <dgm:pt modelId="{7580CB60-37C3-4922-B670-CB79D70669CB}" type="pres">
      <dgm:prSet presAssocID="{728EF172-F1A2-4630-ACBD-09151A8D42E0}" presName="hierChild5" presStyleCnt="0"/>
      <dgm:spPr/>
    </dgm:pt>
    <dgm:pt modelId="{0682577A-DD48-4F68-A560-24C92A32267A}" type="pres">
      <dgm:prSet presAssocID="{CA170EC8-BD45-473C-9A48-D8E4B862E170}" presName="Name37" presStyleLbl="parChTrans1D3" presStyleIdx="10" presStyleCnt="11"/>
      <dgm:spPr/>
    </dgm:pt>
    <dgm:pt modelId="{F807C59A-718A-4B6B-95A4-4DE71D9B58EF}" type="pres">
      <dgm:prSet presAssocID="{66822BD2-E0EA-4B23-8515-68CA5DAF36F2}" presName="hierRoot2" presStyleCnt="0">
        <dgm:presLayoutVars>
          <dgm:hierBranch val="init"/>
        </dgm:presLayoutVars>
      </dgm:prSet>
      <dgm:spPr/>
    </dgm:pt>
    <dgm:pt modelId="{CCA4A9ED-1E46-487D-A4EC-7A1E9512863F}" type="pres">
      <dgm:prSet presAssocID="{66822BD2-E0EA-4B23-8515-68CA5DAF36F2}" presName="rootComposite" presStyleCnt="0"/>
      <dgm:spPr/>
    </dgm:pt>
    <dgm:pt modelId="{340D405E-7980-48FF-92E8-4B1BA0904690}" type="pres">
      <dgm:prSet presAssocID="{66822BD2-E0EA-4B23-8515-68CA5DAF36F2}" presName="rootText" presStyleLbl="node3" presStyleIdx="10" presStyleCnt="11" custScaleX="268674" custScaleY="134337">
        <dgm:presLayoutVars>
          <dgm:chPref val="3"/>
        </dgm:presLayoutVars>
      </dgm:prSet>
      <dgm:spPr>
        <a:xfrm>
          <a:off x="7004081" y="1741922"/>
          <a:ext cx="1756739" cy="439184"/>
        </a:xfrm>
        <a:prstGeom prst="roundRect">
          <a:avLst/>
        </a:prstGeom>
      </dgm:spPr>
    </dgm:pt>
    <dgm:pt modelId="{8CF0BE38-64A4-48F7-91EA-1C5DF9DE28BA}" type="pres">
      <dgm:prSet presAssocID="{66822BD2-E0EA-4B23-8515-68CA5DAF36F2}" presName="rootConnector" presStyleLbl="node3" presStyleIdx="10" presStyleCnt="11"/>
      <dgm:spPr/>
    </dgm:pt>
    <dgm:pt modelId="{29A25B00-B975-4C02-86E5-474E22CEC8B6}" type="pres">
      <dgm:prSet presAssocID="{66822BD2-E0EA-4B23-8515-68CA5DAF36F2}" presName="hierChild4" presStyleCnt="0"/>
      <dgm:spPr/>
    </dgm:pt>
    <dgm:pt modelId="{61E0D8D8-696B-4694-AB78-FAF9F716517A}" type="pres">
      <dgm:prSet presAssocID="{66822BD2-E0EA-4B23-8515-68CA5DAF36F2}" presName="hierChild5" presStyleCnt="0"/>
      <dgm:spPr/>
    </dgm:pt>
    <dgm:pt modelId="{91D2895F-3E53-4BC7-9AB0-1076D1CBD59C}" type="pres">
      <dgm:prSet presAssocID="{ED054F05-DECF-448A-832E-B98612B081A1}" presName="hierChild5" presStyleCnt="0"/>
      <dgm:spPr/>
    </dgm:pt>
    <dgm:pt modelId="{3ABEBA5C-E863-4AB9-8F74-BB798A86922E}" type="pres">
      <dgm:prSet presAssocID="{3D4AA21C-8618-4D88-ADD2-82497DC1C3C8}" presName="hierChild3" presStyleCnt="0"/>
      <dgm:spPr/>
    </dgm:pt>
  </dgm:ptLst>
  <dgm:cxnLst>
    <dgm:cxn modelId="{6ED3C603-97B0-4752-B216-DC9E87E399A5}" srcId="{1007B6F3-05BC-4F7A-8E1A-37C08373F646}" destId="{8B0EAEC7-B4D5-4CF1-85E4-FC7CBAB245A6}" srcOrd="1" destOrd="0" parTransId="{FA1804DE-9856-4A08-B6E3-E8E7C1EC73C0}" sibTransId="{00DA78FB-7979-4ADC-A1E7-89CD20DF37F4}"/>
    <dgm:cxn modelId="{FD164005-3AE0-4D4C-89CF-4EA99F5863A7}" type="presOf" srcId="{4ECF0464-F6E6-4CE3-8866-0ED853614CC9}" destId="{E3C07E89-C63D-4449-9138-B5EE3042C7A8}" srcOrd="0" destOrd="0" presId="urn:microsoft.com/office/officeart/2005/8/layout/orgChart1"/>
    <dgm:cxn modelId="{0A6B2F0A-A50E-4DBE-873E-26B534D57C42}" type="presOf" srcId="{882B9642-DB5D-4415-8141-174046543928}" destId="{DECA7EAF-1BEF-41A3-ABB3-5EAA3BAAF462}" srcOrd="1" destOrd="0" presId="urn:microsoft.com/office/officeart/2005/8/layout/orgChart1"/>
    <dgm:cxn modelId="{A3B08D0A-F9E4-450E-BD9B-29BD70A3F82F}" type="presOf" srcId="{CA170EC8-BD45-473C-9A48-D8E4B862E170}" destId="{0682577A-DD48-4F68-A560-24C92A32267A}" srcOrd="0" destOrd="0" presId="urn:microsoft.com/office/officeart/2005/8/layout/orgChart1"/>
    <dgm:cxn modelId="{F8E8200E-6303-4DEE-AC38-48932013E859}" type="presOf" srcId="{9190B60C-4242-4AB8-BE76-B364159818C9}" destId="{FEA01142-F62E-4F09-955A-6EF0C7069331}" srcOrd="0" destOrd="0" presId="urn:microsoft.com/office/officeart/2005/8/layout/orgChart1"/>
    <dgm:cxn modelId="{4381B015-5A9A-4C3D-BB15-FA8535434B06}" type="presOf" srcId="{2FFF8319-69F4-486B-882F-5B37384F1260}" destId="{D53A79D7-A77E-459E-B55D-EB99EE7432DA}" srcOrd="1" destOrd="0" presId="urn:microsoft.com/office/officeart/2005/8/layout/orgChart1"/>
    <dgm:cxn modelId="{7CEEFE1A-593C-462C-9519-79F14214D9BF}" type="presOf" srcId="{4B850433-3650-48AA-859B-F06BE9D5D2A1}" destId="{A53EE3FD-0868-455B-8BBA-76212B84AD2F}" srcOrd="0" destOrd="0" presId="urn:microsoft.com/office/officeart/2005/8/layout/orgChart1"/>
    <dgm:cxn modelId="{426D991C-BC7B-4286-A3EF-54B92D418A56}" srcId="{3D4AA21C-8618-4D88-ADD2-82497DC1C3C8}" destId="{ED054F05-DECF-448A-832E-B98612B081A1}" srcOrd="3" destOrd="0" parTransId="{759A86B6-2F79-4936-8581-07D0B45049CD}" sibTransId="{5E0090F4-BA9F-4822-A5B4-2C1E9396E774}"/>
    <dgm:cxn modelId="{2A34B621-429B-41E7-8116-28E63095749A}" srcId="{A5AE3037-5CDE-48B1-980D-BF755907F721}" destId="{5CAD7F8E-2D4B-494E-A9B3-8662F2F1C876}" srcOrd="2" destOrd="0" parTransId="{A716377B-5CE5-4BB0-887C-C66ADEDEFCD0}" sibTransId="{393E730C-51B3-4EB3-A4BB-C31B5045F139}"/>
    <dgm:cxn modelId="{9B2D7A24-DB78-4C8D-88B7-D2C0CE2B8877}" srcId="{F69D1FAD-E8C8-4443-9C53-33D08E3DE8CE}" destId="{BAD477F3-63B5-42EE-B3B5-05689244E517}" srcOrd="1" destOrd="0" parTransId="{A3C9C18B-9E10-4A65-87A8-C6D2F29C4622}" sibTransId="{81F2F3B1-1E4B-4A1D-937B-28A35B243ECF}"/>
    <dgm:cxn modelId="{6FF25B28-8B4A-449D-8C3D-C563B932995C}" type="presOf" srcId="{0202D3B0-F039-4A45-9B54-52DE61CC6EBF}" destId="{0E67771F-D6B3-42E0-A4EC-8EA8EA99163C}" srcOrd="0" destOrd="0" presId="urn:microsoft.com/office/officeart/2005/8/layout/orgChart1"/>
    <dgm:cxn modelId="{ADA8CB29-3110-42D9-AEFD-FB30CA9FB48D}" type="presOf" srcId="{3EE6172B-B803-440C-92DD-765D3BC6ACDB}" destId="{24BF0753-546B-46C2-86A1-B85748862C03}" srcOrd="0" destOrd="0" presId="urn:microsoft.com/office/officeart/2005/8/layout/orgChart1"/>
    <dgm:cxn modelId="{C2917830-CC8A-4650-96FC-724CBA803B91}" type="presOf" srcId="{882B9642-DB5D-4415-8141-174046543928}" destId="{6A43EABD-03AA-415F-BE3A-2DD31AB048C5}" srcOrd="0" destOrd="0" presId="urn:microsoft.com/office/officeart/2005/8/layout/orgChart1"/>
    <dgm:cxn modelId="{47E26532-67C1-4B9B-A634-EEB885B6C3DA}" type="presOf" srcId="{474A8C66-2F0D-4397-874A-DDCABFDC54EB}" destId="{0D136685-5600-4E30-BED0-84E704D24193}" srcOrd="0" destOrd="0" presId="urn:microsoft.com/office/officeart/2005/8/layout/orgChart1"/>
    <dgm:cxn modelId="{4778E934-AAFF-4DAA-9DBE-8D9EBCA345D3}" type="presOf" srcId="{F69D1FAD-E8C8-4443-9C53-33D08E3DE8CE}" destId="{F929D97E-86BE-4488-B496-35906E1F9CAE}" srcOrd="0" destOrd="0" presId="urn:microsoft.com/office/officeart/2005/8/layout/orgChart1"/>
    <dgm:cxn modelId="{A2F57D38-6629-4F0D-A1E5-06908D02D415}" type="presOf" srcId="{F69D1FAD-E8C8-4443-9C53-33D08E3DE8CE}" destId="{B955BC7D-DAC9-4057-99DB-72B0147F93F2}" srcOrd="1" destOrd="0" presId="urn:microsoft.com/office/officeart/2005/8/layout/orgChart1"/>
    <dgm:cxn modelId="{7C467C3C-DA82-4DA1-9166-4291A3425A3C}" type="presOf" srcId="{1007B6F3-05BC-4F7A-8E1A-37C08373F646}" destId="{B971E225-D9F5-478B-8A95-DB5AA24C6662}" srcOrd="1" destOrd="0" presId="urn:microsoft.com/office/officeart/2005/8/layout/orgChart1"/>
    <dgm:cxn modelId="{1EE1ED3E-8431-4CEB-B210-F3FA85AEBEEF}" type="presOf" srcId="{4B850433-3650-48AA-859B-F06BE9D5D2A1}" destId="{C24ACD5D-4A90-452B-B807-DD2ACB3F82D7}" srcOrd="1" destOrd="0" presId="urn:microsoft.com/office/officeart/2005/8/layout/orgChart1"/>
    <dgm:cxn modelId="{11606F5D-72AE-4B60-93DC-5F311426122C}" type="presOf" srcId="{1007B6F3-05BC-4F7A-8E1A-37C08373F646}" destId="{1BE2E877-A98C-4F5E-B162-7E381A985946}" srcOrd="0" destOrd="0" presId="urn:microsoft.com/office/officeart/2005/8/layout/orgChart1"/>
    <dgm:cxn modelId="{CFCB7A42-AF82-45F9-9001-D0C2BA0C1D68}" srcId="{F69D1FAD-E8C8-4443-9C53-33D08E3DE8CE}" destId="{367DA472-A6B5-4A65-AA92-ABD67FD1CC00}" srcOrd="2" destOrd="0" parTransId="{9190B60C-4242-4AB8-BE76-B364159818C9}" sibTransId="{15DB7952-266A-46BB-A9FF-6186DD342E36}"/>
    <dgm:cxn modelId="{57DC6863-7B8D-4255-A91E-13AB24FFDBCA}" type="presOf" srcId="{A5AE3037-5CDE-48B1-980D-BF755907F721}" destId="{6280D6AE-52C6-48FA-A310-9B841171A626}" srcOrd="1" destOrd="0" presId="urn:microsoft.com/office/officeart/2005/8/layout/orgChart1"/>
    <dgm:cxn modelId="{9462EE48-C752-4738-8121-7C5F5D8E3EA9}" srcId="{1007B6F3-05BC-4F7A-8E1A-37C08373F646}" destId="{0202D3B0-F039-4A45-9B54-52DE61CC6EBF}" srcOrd="2" destOrd="0" parTransId="{3DA5B83C-D6D6-4F7C-810E-D00E25F2DA99}" sibTransId="{B9F88689-25EB-4604-9BE4-089FAC838E94}"/>
    <dgm:cxn modelId="{5E6F4D49-0E13-4B7D-A485-A1B48DFB85C7}" type="presOf" srcId="{5CAD7F8E-2D4B-494E-A9B3-8662F2F1C876}" destId="{669661FF-25DD-4243-AB62-68FDBEE0DB7C}" srcOrd="1" destOrd="0" presId="urn:microsoft.com/office/officeart/2005/8/layout/orgChart1"/>
    <dgm:cxn modelId="{BE4A0A6D-A8E9-4536-8DC9-40AC04BA8BC1}" type="presOf" srcId="{F56A11B0-F829-4403-B03B-66574A081A1D}" destId="{F512030C-FBC5-4D3B-A89E-F874314E7A02}" srcOrd="1" destOrd="0" presId="urn:microsoft.com/office/officeart/2005/8/layout/orgChart1"/>
    <dgm:cxn modelId="{AD861E6E-30BC-4B91-8917-8CA0A2119A1D}" type="presOf" srcId="{BAD477F3-63B5-42EE-B3B5-05689244E517}" destId="{1BB92FE5-CE5A-41FE-B673-C4A4F62BF5AB}" srcOrd="0" destOrd="0" presId="urn:microsoft.com/office/officeart/2005/8/layout/orgChart1"/>
    <dgm:cxn modelId="{63B51D50-52CA-4E5F-B004-BA5FF7D5A70A}" type="presOf" srcId="{2FFF8319-69F4-486B-882F-5B37384F1260}" destId="{16466F66-21BE-440C-AFE1-27401EFCD165}" srcOrd="0" destOrd="0" presId="urn:microsoft.com/office/officeart/2005/8/layout/orgChart1"/>
    <dgm:cxn modelId="{0992BD51-A0AE-4CEC-9BB8-0670A828A69C}" type="presOf" srcId="{E2EA3DBF-0B05-4BE9-80CF-CD8065633172}" destId="{98DD77B9-6508-4827-9493-60FB472DE478}" srcOrd="0" destOrd="0" presId="urn:microsoft.com/office/officeart/2005/8/layout/orgChart1"/>
    <dgm:cxn modelId="{348ADE71-4DE7-4FC4-8AD4-2C3B295510A4}" srcId="{A5AE3037-5CDE-48B1-980D-BF755907F721}" destId="{F56A11B0-F829-4403-B03B-66574A081A1D}" srcOrd="0" destOrd="0" parTransId="{3EE6172B-B803-440C-92DD-765D3BC6ACDB}" sibTransId="{1795EB77-CC6C-4AC9-AEB9-E8649F4A642D}"/>
    <dgm:cxn modelId="{A8CE5772-9349-42E6-A708-62E57BAA0D22}" type="presOf" srcId="{1768B429-B295-4E12-A4E5-2959760A26BB}" destId="{FE6A734C-CD98-41BA-B25A-1C4D4AE8317A}" srcOrd="0" destOrd="0" presId="urn:microsoft.com/office/officeart/2005/8/layout/orgChart1"/>
    <dgm:cxn modelId="{5E97D352-E701-45B2-AC47-7FC0773CA41F}" srcId="{F69D1FAD-E8C8-4443-9C53-33D08E3DE8CE}" destId="{4B850433-3650-48AA-859B-F06BE9D5D2A1}" srcOrd="0" destOrd="0" parTransId="{7B0DE2BE-30B8-41A2-9742-9F7D501ABEE0}" sibTransId="{10704553-64AA-4B37-B0EC-C2F455ECB4C5}"/>
    <dgm:cxn modelId="{D7F22C73-C384-416C-8402-4CED0575F3A4}" type="presOf" srcId="{A5AE3037-5CDE-48B1-980D-BF755907F721}" destId="{42D1E0BE-354F-4E3C-8806-1977ECF66EA1}" srcOrd="0" destOrd="0" presId="urn:microsoft.com/office/officeart/2005/8/layout/orgChart1"/>
    <dgm:cxn modelId="{51015C53-54FB-47EC-9B3E-9C37C81D3C33}" type="presOf" srcId="{367DA472-A6B5-4A65-AA92-ABD67FD1CC00}" destId="{B509DCB6-92BF-408D-9332-348533AC8AE4}" srcOrd="0" destOrd="0" presId="urn:microsoft.com/office/officeart/2005/8/layout/orgChart1"/>
    <dgm:cxn modelId="{95CA4473-4507-4D0E-AD48-2EA663AB6E46}" type="presOf" srcId="{728EF172-F1A2-4630-ACBD-09151A8D42E0}" destId="{25CBE439-FF8E-48F7-B5EE-F025139ED159}" srcOrd="0" destOrd="0" presId="urn:microsoft.com/office/officeart/2005/8/layout/orgChart1"/>
    <dgm:cxn modelId="{058BF573-CF72-49AE-A72A-A02138CB8FFC}" type="presOf" srcId="{FA1804DE-9856-4A08-B6E3-E8E7C1EC73C0}" destId="{D978C072-8E92-43C4-91B3-F3E661B7ABAC}" srcOrd="0" destOrd="0" presId="urn:microsoft.com/office/officeart/2005/8/layout/orgChart1"/>
    <dgm:cxn modelId="{26035A75-A7B8-481A-9B7C-A1DD774E82AB}" srcId="{1007B6F3-05BC-4F7A-8E1A-37C08373F646}" destId="{882B9642-DB5D-4415-8141-174046543928}" srcOrd="0" destOrd="0" parTransId="{1768B429-B295-4E12-A4E5-2959760A26BB}" sibTransId="{CEF1BA8D-8962-4916-A848-7A69DE1F430D}"/>
    <dgm:cxn modelId="{B925A275-F9A9-464C-A82D-BEC72209DAB3}" type="presOf" srcId="{8B0EAEC7-B4D5-4CF1-85E4-FC7CBAB245A6}" destId="{19B89C79-DE41-4F48-9743-7325556D13A7}" srcOrd="0" destOrd="0" presId="urn:microsoft.com/office/officeart/2005/8/layout/orgChart1"/>
    <dgm:cxn modelId="{8EB18B56-0FF5-4913-838C-F59B1C48F799}" type="presOf" srcId="{66822BD2-E0EA-4B23-8515-68CA5DAF36F2}" destId="{340D405E-7980-48FF-92E8-4B1BA0904690}" srcOrd="0" destOrd="0" presId="urn:microsoft.com/office/officeart/2005/8/layout/orgChart1"/>
    <dgm:cxn modelId="{D8C6AE59-B514-4E49-B886-5105775305CC}" type="presOf" srcId="{BAD477F3-63B5-42EE-B3B5-05689244E517}" destId="{C55C49B2-409B-4525-9D61-0D463E355467}" srcOrd="1" destOrd="0" presId="urn:microsoft.com/office/officeart/2005/8/layout/orgChart1"/>
    <dgm:cxn modelId="{D691947F-83DF-42ED-92C7-3DB7E354FEC7}" type="presOf" srcId="{0202D3B0-F039-4A45-9B54-52DE61CC6EBF}" destId="{56227AB4-9AF1-4700-B97A-335834EB032E}" srcOrd="1" destOrd="0" presId="urn:microsoft.com/office/officeart/2005/8/layout/orgChart1"/>
    <dgm:cxn modelId="{204D9380-A8FB-4AEE-9320-ABE20AB8D9C3}" type="presOf" srcId="{3D4AA21C-8618-4D88-ADD2-82497DC1C3C8}" destId="{C9906B2A-6D0D-4B97-86E9-67AB72BB51C3}" srcOrd="0" destOrd="0" presId="urn:microsoft.com/office/officeart/2005/8/layout/orgChart1"/>
    <dgm:cxn modelId="{F88EC982-2F55-4262-B195-28979D5D81EA}" type="presOf" srcId="{3DA5B83C-D6D6-4F7C-810E-D00E25F2DA99}" destId="{8E487ED1-854B-4A52-9737-AAF07A5B6561}" srcOrd="0" destOrd="0" presId="urn:microsoft.com/office/officeart/2005/8/layout/orgChart1"/>
    <dgm:cxn modelId="{1D5E9889-F8A7-456A-8743-9102DDFBADFA}" type="presOf" srcId="{367DA472-A6B5-4A65-AA92-ABD67FD1CC00}" destId="{260E8905-E423-4F36-BAD2-9471CD368CFA}" srcOrd="1" destOrd="0" presId="urn:microsoft.com/office/officeart/2005/8/layout/orgChart1"/>
    <dgm:cxn modelId="{274C438A-3C87-4F83-B4D5-19F903E6094D}" type="presOf" srcId="{DC323120-D202-4A8E-953D-322761F16AE2}" destId="{F92DD1E1-B9A1-46FB-97E4-955B61300390}" srcOrd="0" destOrd="0" presId="urn:microsoft.com/office/officeart/2005/8/layout/orgChart1"/>
    <dgm:cxn modelId="{B9E5FE8A-9065-453B-89A8-EA26ACF8C886}" type="presOf" srcId="{728EF172-F1A2-4630-ACBD-09151A8D42E0}" destId="{EA9065D7-9704-4C0A-8D0D-77EE2F0AF926}" srcOrd="1" destOrd="0" presId="urn:microsoft.com/office/officeart/2005/8/layout/orgChart1"/>
    <dgm:cxn modelId="{FCB5A58B-E24A-469E-A23E-5C47ED6D1DBE}" srcId="{ED054F05-DECF-448A-832E-B98612B081A1}" destId="{66822BD2-E0EA-4B23-8515-68CA5DAF36F2}" srcOrd="1" destOrd="0" parTransId="{CA170EC8-BD45-473C-9A48-D8E4B862E170}" sibTransId="{9E76F400-F081-40C5-B061-15C7F717FAD8}"/>
    <dgm:cxn modelId="{29621792-B578-4565-B956-BF34C6A2DA21}" type="presOf" srcId="{7B0DE2BE-30B8-41A2-9742-9F7D501ABEE0}" destId="{3BF4E0A2-533F-46EF-B1EF-8466DEC47284}" srcOrd="0" destOrd="0" presId="urn:microsoft.com/office/officeart/2005/8/layout/orgChart1"/>
    <dgm:cxn modelId="{668BA597-DDEE-4B67-B449-41F893AFC336}" type="presOf" srcId="{E0E28DCF-A5AB-4C9B-8D6E-5C57C3D6B80D}" destId="{07890C3C-0C34-43C6-B53A-43502EC7872E}" srcOrd="0" destOrd="0" presId="urn:microsoft.com/office/officeart/2005/8/layout/orgChart1"/>
    <dgm:cxn modelId="{574395A3-1FFD-404B-9EBD-795AC6B1F259}" type="presOf" srcId="{ED054F05-DECF-448A-832E-B98612B081A1}" destId="{93AA080D-57AE-4E81-958D-F9A1D38E6CF3}" srcOrd="1" destOrd="0" presId="urn:microsoft.com/office/officeart/2005/8/layout/orgChart1"/>
    <dgm:cxn modelId="{9C8B85A5-4540-435D-A91C-6B1075FAB580}" type="presOf" srcId="{8B0EAEC7-B4D5-4CF1-85E4-FC7CBAB245A6}" destId="{135572E7-D0A9-47F1-B57C-3842E7D4BA7A}" srcOrd="1" destOrd="0" presId="urn:microsoft.com/office/officeart/2005/8/layout/orgChart1"/>
    <dgm:cxn modelId="{4A9D80B2-A778-4F3C-BF32-893B6F3B935A}" srcId="{A5AE3037-5CDE-48B1-980D-BF755907F721}" destId="{2FFF8319-69F4-486B-882F-5B37384F1260}" srcOrd="1" destOrd="0" parTransId="{4ECF0464-F6E6-4CE3-8866-0ED853614CC9}" sibTransId="{9D29A0EC-B56A-4231-9A14-54A739D4E7C0}"/>
    <dgm:cxn modelId="{E12D52B8-7AF8-41E4-8169-4569F54348E5}" srcId="{3D4AA21C-8618-4D88-ADD2-82497DC1C3C8}" destId="{A5AE3037-5CDE-48B1-980D-BF755907F721}" srcOrd="0" destOrd="0" parTransId="{E2EA3DBF-0B05-4BE9-80CF-CD8065633172}" sibTransId="{4B6C03A1-DC02-49AD-83B0-4E4E3C4E4627}"/>
    <dgm:cxn modelId="{F56F7FBB-D02E-4B82-A727-8F1A3DE0EADA}" srcId="{3D4AA21C-8618-4D88-ADD2-82497DC1C3C8}" destId="{F69D1FAD-E8C8-4443-9C53-33D08E3DE8CE}" srcOrd="2" destOrd="0" parTransId="{474A8C66-2F0D-4397-874A-DDCABFDC54EB}" sibTransId="{F2361F06-5F23-4E4E-93B2-3A55630A94F3}"/>
    <dgm:cxn modelId="{EE987EDD-7F0C-4008-95C8-049C3E99239D}" type="presOf" srcId="{5CAD7F8E-2D4B-494E-A9B3-8662F2F1C876}" destId="{2841514A-A0DB-45C8-A350-781612C53CB7}" srcOrd="0" destOrd="0" presId="urn:microsoft.com/office/officeart/2005/8/layout/orgChart1"/>
    <dgm:cxn modelId="{46DFFAE5-E9B3-442D-8886-0EC664DB1920}" type="presOf" srcId="{CA0C4A7D-87B4-42FC-B473-86E796E6DB38}" destId="{AE5E83A7-0964-4C8F-AE38-A162F9EC1141}" srcOrd="0" destOrd="0" presId="urn:microsoft.com/office/officeart/2005/8/layout/orgChart1"/>
    <dgm:cxn modelId="{A1DA7FE7-17AF-472E-B24E-CC02037BB48B}" type="presOf" srcId="{ED054F05-DECF-448A-832E-B98612B081A1}" destId="{0A209B85-31FA-4E41-BE45-2EB0F430555C}" srcOrd="0" destOrd="0" presId="urn:microsoft.com/office/officeart/2005/8/layout/orgChart1"/>
    <dgm:cxn modelId="{5842D9E7-7CCB-4B0B-80EF-C642F60D8984}" type="presOf" srcId="{F56A11B0-F829-4403-B03B-66574A081A1D}" destId="{6D82EA0F-014F-47C5-883A-DB387EA6CDAE}" srcOrd="0" destOrd="0" presId="urn:microsoft.com/office/officeart/2005/8/layout/orgChart1"/>
    <dgm:cxn modelId="{DDD991E8-0698-44E8-A37F-6B5F05ED00D4}" srcId="{ED054F05-DECF-448A-832E-B98612B081A1}" destId="{728EF172-F1A2-4630-ACBD-09151A8D42E0}" srcOrd="0" destOrd="0" parTransId="{E0E28DCF-A5AB-4C9B-8D6E-5C57C3D6B80D}" sibTransId="{06896C4B-0AE3-4711-993A-9BB0A56EB6F2}"/>
    <dgm:cxn modelId="{4D50DEE8-3F3F-4BB1-865F-E6D23F0FFF74}" type="presOf" srcId="{3D4AA21C-8618-4D88-ADD2-82497DC1C3C8}" destId="{02ACD5D0-6C9D-484A-BD23-29ABC006DAEA}" srcOrd="1" destOrd="0" presId="urn:microsoft.com/office/officeart/2005/8/layout/orgChart1"/>
    <dgm:cxn modelId="{8C7B12E9-9CF0-45C0-9307-1978F08FF27F}" type="presOf" srcId="{66822BD2-E0EA-4B23-8515-68CA5DAF36F2}" destId="{8CF0BE38-64A4-48F7-91EA-1C5DF9DE28BA}" srcOrd="1" destOrd="0" presId="urn:microsoft.com/office/officeart/2005/8/layout/orgChart1"/>
    <dgm:cxn modelId="{E36013EA-09C0-49C1-8A23-0972C103C6BA}" srcId="{3D4AA21C-8618-4D88-ADD2-82497DC1C3C8}" destId="{1007B6F3-05BC-4F7A-8E1A-37C08373F646}" srcOrd="1" destOrd="0" parTransId="{DC323120-D202-4A8E-953D-322761F16AE2}" sibTransId="{228E9085-F602-4C47-9F8C-5187B1EC5A82}"/>
    <dgm:cxn modelId="{1A5ECEEA-F688-415C-8B77-E5EF3A25757D}" type="presOf" srcId="{A3C9C18B-9E10-4A65-87A8-C6D2F29C4622}" destId="{FD2BD50E-D384-49FE-BB00-71E6AEEEE500}" srcOrd="0" destOrd="0" presId="urn:microsoft.com/office/officeart/2005/8/layout/orgChart1"/>
    <dgm:cxn modelId="{305577ED-3625-4E9D-8C9B-56DA887498F6}" type="presOf" srcId="{759A86B6-2F79-4936-8581-07D0B45049CD}" destId="{93F63975-AD3A-48CE-8A6A-39CA9BB236AA}" srcOrd="0" destOrd="0" presId="urn:microsoft.com/office/officeart/2005/8/layout/orgChart1"/>
    <dgm:cxn modelId="{A89F57EF-47EA-409E-906D-5EE9A6044583}" type="presOf" srcId="{A716377B-5CE5-4BB0-887C-C66ADEDEFCD0}" destId="{A87082C9-45F3-410C-83B8-8C1C4E93FA1C}" srcOrd="0" destOrd="0" presId="urn:microsoft.com/office/officeart/2005/8/layout/orgChart1"/>
    <dgm:cxn modelId="{F49C61F9-6346-4223-916A-0CDD3FF00F58}" srcId="{CA0C4A7D-87B4-42FC-B473-86E796E6DB38}" destId="{3D4AA21C-8618-4D88-ADD2-82497DC1C3C8}" srcOrd="0" destOrd="0" parTransId="{55DD5BB0-27D4-4C12-9A68-2D22B56B3DB9}" sibTransId="{BA36D946-1E1C-4B8A-8920-C56DB42187D5}"/>
    <dgm:cxn modelId="{862E5FAE-F4C5-4F85-B39A-7476FBCF7B59}" type="presParOf" srcId="{AE5E83A7-0964-4C8F-AE38-A162F9EC1141}" destId="{03C0F827-EF46-4C6A-8A7B-173F39D63C47}" srcOrd="0" destOrd="0" presId="urn:microsoft.com/office/officeart/2005/8/layout/orgChart1"/>
    <dgm:cxn modelId="{7D3E24A5-A34A-4292-8689-3AD14D288F1B}" type="presParOf" srcId="{03C0F827-EF46-4C6A-8A7B-173F39D63C47}" destId="{C17EA8BB-09B7-4C3C-8988-EB642C1DB8DA}" srcOrd="0" destOrd="0" presId="urn:microsoft.com/office/officeart/2005/8/layout/orgChart1"/>
    <dgm:cxn modelId="{37B304BE-9525-4A34-8ACD-01E6413768BA}" type="presParOf" srcId="{C17EA8BB-09B7-4C3C-8988-EB642C1DB8DA}" destId="{C9906B2A-6D0D-4B97-86E9-67AB72BB51C3}" srcOrd="0" destOrd="0" presId="urn:microsoft.com/office/officeart/2005/8/layout/orgChart1"/>
    <dgm:cxn modelId="{5039B660-3600-4E45-AA64-30BA62BE3CAB}" type="presParOf" srcId="{C17EA8BB-09B7-4C3C-8988-EB642C1DB8DA}" destId="{02ACD5D0-6C9D-484A-BD23-29ABC006DAEA}" srcOrd="1" destOrd="0" presId="urn:microsoft.com/office/officeart/2005/8/layout/orgChart1"/>
    <dgm:cxn modelId="{16DED783-FCC5-45E0-8E85-6F4048F509B8}" type="presParOf" srcId="{03C0F827-EF46-4C6A-8A7B-173F39D63C47}" destId="{FF8BCAD5-BE9A-4430-BBC0-D43BA79507C0}" srcOrd="1" destOrd="0" presId="urn:microsoft.com/office/officeart/2005/8/layout/orgChart1"/>
    <dgm:cxn modelId="{3AED6512-781A-4E1C-ACA2-F13F5FAC2B9B}" type="presParOf" srcId="{FF8BCAD5-BE9A-4430-BBC0-D43BA79507C0}" destId="{98DD77B9-6508-4827-9493-60FB472DE478}" srcOrd="0" destOrd="0" presId="urn:microsoft.com/office/officeart/2005/8/layout/orgChart1"/>
    <dgm:cxn modelId="{55ED747C-6F30-4378-83C7-C06EBA291995}" type="presParOf" srcId="{FF8BCAD5-BE9A-4430-BBC0-D43BA79507C0}" destId="{1575CE88-5799-4DA5-9BC6-09897D82DF48}" srcOrd="1" destOrd="0" presId="urn:microsoft.com/office/officeart/2005/8/layout/orgChart1"/>
    <dgm:cxn modelId="{80730711-9F88-4D75-8EF9-922356F5F4ED}" type="presParOf" srcId="{1575CE88-5799-4DA5-9BC6-09897D82DF48}" destId="{F09DB981-3CD5-4201-8323-D09C948E8960}" srcOrd="0" destOrd="0" presId="urn:microsoft.com/office/officeart/2005/8/layout/orgChart1"/>
    <dgm:cxn modelId="{002D00EC-5DB7-4458-8C9F-5CDF95CA588C}" type="presParOf" srcId="{F09DB981-3CD5-4201-8323-D09C948E8960}" destId="{42D1E0BE-354F-4E3C-8806-1977ECF66EA1}" srcOrd="0" destOrd="0" presId="urn:microsoft.com/office/officeart/2005/8/layout/orgChart1"/>
    <dgm:cxn modelId="{A15BB471-2C99-4A22-B652-6190D24B907D}" type="presParOf" srcId="{F09DB981-3CD5-4201-8323-D09C948E8960}" destId="{6280D6AE-52C6-48FA-A310-9B841171A626}" srcOrd="1" destOrd="0" presId="urn:microsoft.com/office/officeart/2005/8/layout/orgChart1"/>
    <dgm:cxn modelId="{47AF0B24-FACD-4593-A545-C12EA5EB5AB8}" type="presParOf" srcId="{1575CE88-5799-4DA5-9BC6-09897D82DF48}" destId="{E2551EF9-F6B8-4D10-ADCE-CA18AB6F6C19}" srcOrd="1" destOrd="0" presId="urn:microsoft.com/office/officeart/2005/8/layout/orgChart1"/>
    <dgm:cxn modelId="{7943FBE6-20A1-4C39-B727-F5936F3BFB6F}" type="presParOf" srcId="{E2551EF9-F6B8-4D10-ADCE-CA18AB6F6C19}" destId="{24BF0753-546B-46C2-86A1-B85748862C03}" srcOrd="0" destOrd="0" presId="urn:microsoft.com/office/officeart/2005/8/layout/orgChart1"/>
    <dgm:cxn modelId="{151C84AF-3C29-4A27-9146-F9D8A001677A}" type="presParOf" srcId="{E2551EF9-F6B8-4D10-ADCE-CA18AB6F6C19}" destId="{8697166C-E6C4-4FAC-9932-876C66AFF466}" srcOrd="1" destOrd="0" presId="urn:microsoft.com/office/officeart/2005/8/layout/orgChart1"/>
    <dgm:cxn modelId="{3E2D2B0A-74C3-43C6-A8E1-41B399B5FADE}" type="presParOf" srcId="{8697166C-E6C4-4FAC-9932-876C66AFF466}" destId="{288D150C-2503-4F00-B391-0AABDF1A2B25}" srcOrd="0" destOrd="0" presId="urn:microsoft.com/office/officeart/2005/8/layout/orgChart1"/>
    <dgm:cxn modelId="{4BCE2F4E-EE82-4F37-A584-57E37DB84603}" type="presParOf" srcId="{288D150C-2503-4F00-B391-0AABDF1A2B25}" destId="{6D82EA0F-014F-47C5-883A-DB387EA6CDAE}" srcOrd="0" destOrd="0" presId="urn:microsoft.com/office/officeart/2005/8/layout/orgChart1"/>
    <dgm:cxn modelId="{B16EDDDA-40CD-4884-9943-55ED2D772A69}" type="presParOf" srcId="{288D150C-2503-4F00-B391-0AABDF1A2B25}" destId="{F512030C-FBC5-4D3B-A89E-F874314E7A02}" srcOrd="1" destOrd="0" presId="urn:microsoft.com/office/officeart/2005/8/layout/orgChart1"/>
    <dgm:cxn modelId="{619C0858-7A22-4A23-8899-515C4F04AD40}" type="presParOf" srcId="{8697166C-E6C4-4FAC-9932-876C66AFF466}" destId="{EEE75C39-9E08-4ACA-8276-F910AEA8229E}" srcOrd="1" destOrd="0" presId="urn:microsoft.com/office/officeart/2005/8/layout/orgChart1"/>
    <dgm:cxn modelId="{C90233A1-F2D8-4451-8227-1187265755F0}" type="presParOf" srcId="{8697166C-E6C4-4FAC-9932-876C66AFF466}" destId="{FC544A9F-2494-4136-ADB2-6C417971A872}" srcOrd="2" destOrd="0" presId="urn:microsoft.com/office/officeart/2005/8/layout/orgChart1"/>
    <dgm:cxn modelId="{BB5B751C-917E-4E3B-94CB-A29677CDD833}" type="presParOf" srcId="{E2551EF9-F6B8-4D10-ADCE-CA18AB6F6C19}" destId="{E3C07E89-C63D-4449-9138-B5EE3042C7A8}" srcOrd="2" destOrd="0" presId="urn:microsoft.com/office/officeart/2005/8/layout/orgChart1"/>
    <dgm:cxn modelId="{B3A89F9B-9638-460F-B907-54866369355D}" type="presParOf" srcId="{E2551EF9-F6B8-4D10-ADCE-CA18AB6F6C19}" destId="{21231F1F-CAD0-4EB2-A434-8F3A9A0C0BD5}" srcOrd="3" destOrd="0" presId="urn:microsoft.com/office/officeart/2005/8/layout/orgChart1"/>
    <dgm:cxn modelId="{61D1132F-14C6-4794-A487-F5DBEDA87566}" type="presParOf" srcId="{21231F1F-CAD0-4EB2-A434-8F3A9A0C0BD5}" destId="{875569A0-C5C9-4FF7-87B8-70C23F8F6DD7}" srcOrd="0" destOrd="0" presId="urn:microsoft.com/office/officeart/2005/8/layout/orgChart1"/>
    <dgm:cxn modelId="{9044972E-349A-47F6-BC72-1F512B44DD4C}" type="presParOf" srcId="{875569A0-C5C9-4FF7-87B8-70C23F8F6DD7}" destId="{16466F66-21BE-440C-AFE1-27401EFCD165}" srcOrd="0" destOrd="0" presId="urn:microsoft.com/office/officeart/2005/8/layout/orgChart1"/>
    <dgm:cxn modelId="{88FF593D-3A24-4848-9EAC-41388E08B089}" type="presParOf" srcId="{875569A0-C5C9-4FF7-87B8-70C23F8F6DD7}" destId="{D53A79D7-A77E-459E-B55D-EB99EE7432DA}" srcOrd="1" destOrd="0" presId="urn:microsoft.com/office/officeart/2005/8/layout/orgChart1"/>
    <dgm:cxn modelId="{7049A80E-8444-4A65-B62B-43A80D6495D0}" type="presParOf" srcId="{21231F1F-CAD0-4EB2-A434-8F3A9A0C0BD5}" destId="{BC9CDFBC-A3BD-4452-8253-FC21870E061E}" srcOrd="1" destOrd="0" presId="urn:microsoft.com/office/officeart/2005/8/layout/orgChart1"/>
    <dgm:cxn modelId="{DA9474A1-06EC-416B-A44B-AB57AACFD9F0}" type="presParOf" srcId="{21231F1F-CAD0-4EB2-A434-8F3A9A0C0BD5}" destId="{72FF905A-11BA-41AD-B5F5-3E7D0248EAC5}" srcOrd="2" destOrd="0" presId="urn:microsoft.com/office/officeart/2005/8/layout/orgChart1"/>
    <dgm:cxn modelId="{49C140D2-2B37-4750-A692-B78DBCC8497A}" type="presParOf" srcId="{E2551EF9-F6B8-4D10-ADCE-CA18AB6F6C19}" destId="{A87082C9-45F3-410C-83B8-8C1C4E93FA1C}" srcOrd="4" destOrd="0" presId="urn:microsoft.com/office/officeart/2005/8/layout/orgChart1"/>
    <dgm:cxn modelId="{1CE5EBED-EF99-4929-B1EB-3C0068221D10}" type="presParOf" srcId="{E2551EF9-F6B8-4D10-ADCE-CA18AB6F6C19}" destId="{5829CBEC-FF79-45A1-A645-BDDC9CDFC4C1}" srcOrd="5" destOrd="0" presId="urn:microsoft.com/office/officeart/2005/8/layout/orgChart1"/>
    <dgm:cxn modelId="{EB065F6C-2D9F-4FD3-BE04-D2AFCEBFF62F}" type="presParOf" srcId="{5829CBEC-FF79-45A1-A645-BDDC9CDFC4C1}" destId="{3385CAAA-3FDB-49A4-A502-B8C3537CDCA1}" srcOrd="0" destOrd="0" presId="urn:microsoft.com/office/officeart/2005/8/layout/orgChart1"/>
    <dgm:cxn modelId="{DBDB100D-CEC0-4071-B5E3-5727C6195E4A}" type="presParOf" srcId="{3385CAAA-3FDB-49A4-A502-B8C3537CDCA1}" destId="{2841514A-A0DB-45C8-A350-781612C53CB7}" srcOrd="0" destOrd="0" presId="urn:microsoft.com/office/officeart/2005/8/layout/orgChart1"/>
    <dgm:cxn modelId="{773AFBAF-312C-43A7-9625-878CDCA65933}" type="presParOf" srcId="{3385CAAA-3FDB-49A4-A502-B8C3537CDCA1}" destId="{669661FF-25DD-4243-AB62-68FDBEE0DB7C}" srcOrd="1" destOrd="0" presId="urn:microsoft.com/office/officeart/2005/8/layout/orgChart1"/>
    <dgm:cxn modelId="{DFBD8F52-243B-4880-825F-B407EF798B17}" type="presParOf" srcId="{5829CBEC-FF79-45A1-A645-BDDC9CDFC4C1}" destId="{67183722-17A1-4727-AAA6-0A14AB58ED05}" srcOrd="1" destOrd="0" presId="urn:microsoft.com/office/officeart/2005/8/layout/orgChart1"/>
    <dgm:cxn modelId="{F23C875C-2970-422F-B1EA-536ED711933F}" type="presParOf" srcId="{5829CBEC-FF79-45A1-A645-BDDC9CDFC4C1}" destId="{10FEBB28-75D6-4A28-A5E8-76720F8194DB}" srcOrd="2" destOrd="0" presId="urn:microsoft.com/office/officeart/2005/8/layout/orgChart1"/>
    <dgm:cxn modelId="{2AC224BA-003A-429D-A131-0A67A6DC4C7E}" type="presParOf" srcId="{1575CE88-5799-4DA5-9BC6-09897D82DF48}" destId="{0BA468DC-1E4F-47B6-834D-E8FC08A235B4}" srcOrd="2" destOrd="0" presId="urn:microsoft.com/office/officeart/2005/8/layout/orgChart1"/>
    <dgm:cxn modelId="{CD035174-E76B-4A80-B0D1-0544EC4F26CD}" type="presParOf" srcId="{FF8BCAD5-BE9A-4430-BBC0-D43BA79507C0}" destId="{F92DD1E1-B9A1-46FB-97E4-955B61300390}" srcOrd="2" destOrd="0" presId="urn:microsoft.com/office/officeart/2005/8/layout/orgChart1"/>
    <dgm:cxn modelId="{FBA72B83-A680-4513-95A6-F4B67DEE1D3C}" type="presParOf" srcId="{FF8BCAD5-BE9A-4430-BBC0-D43BA79507C0}" destId="{A9655281-1A11-48A7-A397-28B2365A7821}" srcOrd="3" destOrd="0" presId="urn:microsoft.com/office/officeart/2005/8/layout/orgChart1"/>
    <dgm:cxn modelId="{2F65CE72-D06E-4B7B-8904-6C8764FE8B07}" type="presParOf" srcId="{A9655281-1A11-48A7-A397-28B2365A7821}" destId="{16DF5A1D-F328-4D8F-9A64-679F012C89FD}" srcOrd="0" destOrd="0" presId="urn:microsoft.com/office/officeart/2005/8/layout/orgChart1"/>
    <dgm:cxn modelId="{713A474A-361B-4AB6-9D9E-2361DAABCA50}" type="presParOf" srcId="{16DF5A1D-F328-4D8F-9A64-679F012C89FD}" destId="{1BE2E877-A98C-4F5E-B162-7E381A985946}" srcOrd="0" destOrd="0" presId="urn:microsoft.com/office/officeart/2005/8/layout/orgChart1"/>
    <dgm:cxn modelId="{745B3E7B-07BB-4121-ADBD-6D384BE0C339}" type="presParOf" srcId="{16DF5A1D-F328-4D8F-9A64-679F012C89FD}" destId="{B971E225-D9F5-478B-8A95-DB5AA24C6662}" srcOrd="1" destOrd="0" presId="urn:microsoft.com/office/officeart/2005/8/layout/orgChart1"/>
    <dgm:cxn modelId="{0850BD02-C203-4259-915C-CA5F71405671}" type="presParOf" srcId="{A9655281-1A11-48A7-A397-28B2365A7821}" destId="{68EA9830-A38B-4137-AD59-A7E86F6FAAA7}" srcOrd="1" destOrd="0" presId="urn:microsoft.com/office/officeart/2005/8/layout/orgChart1"/>
    <dgm:cxn modelId="{F9DC34BF-DE0D-4B7C-940D-46A411B2DF52}" type="presParOf" srcId="{68EA9830-A38B-4137-AD59-A7E86F6FAAA7}" destId="{FE6A734C-CD98-41BA-B25A-1C4D4AE8317A}" srcOrd="0" destOrd="0" presId="urn:microsoft.com/office/officeart/2005/8/layout/orgChart1"/>
    <dgm:cxn modelId="{AC71C5B0-7D0C-416E-A8F8-A3AFD5FC6BEB}" type="presParOf" srcId="{68EA9830-A38B-4137-AD59-A7E86F6FAAA7}" destId="{0CFBA51D-31D1-471A-9BC7-2CEB9D7C399F}" srcOrd="1" destOrd="0" presId="urn:microsoft.com/office/officeart/2005/8/layout/orgChart1"/>
    <dgm:cxn modelId="{7E515F47-F7A3-4012-8A41-D9E5261FD60B}" type="presParOf" srcId="{0CFBA51D-31D1-471A-9BC7-2CEB9D7C399F}" destId="{0D15A8F0-925F-4930-A883-35E4E6551285}" srcOrd="0" destOrd="0" presId="urn:microsoft.com/office/officeart/2005/8/layout/orgChart1"/>
    <dgm:cxn modelId="{1B17F253-2AA5-4377-A3EF-B715CA11ADAA}" type="presParOf" srcId="{0D15A8F0-925F-4930-A883-35E4E6551285}" destId="{6A43EABD-03AA-415F-BE3A-2DD31AB048C5}" srcOrd="0" destOrd="0" presId="urn:microsoft.com/office/officeart/2005/8/layout/orgChart1"/>
    <dgm:cxn modelId="{34C944EB-F9D5-433C-A768-B54AB6E26AA1}" type="presParOf" srcId="{0D15A8F0-925F-4930-A883-35E4E6551285}" destId="{DECA7EAF-1BEF-41A3-ABB3-5EAA3BAAF462}" srcOrd="1" destOrd="0" presId="urn:microsoft.com/office/officeart/2005/8/layout/orgChart1"/>
    <dgm:cxn modelId="{CB95013C-7A6B-45E2-80BC-130D85389758}" type="presParOf" srcId="{0CFBA51D-31D1-471A-9BC7-2CEB9D7C399F}" destId="{D85C8B7E-C5E4-4E2B-A51E-8DED9E096F4F}" srcOrd="1" destOrd="0" presId="urn:microsoft.com/office/officeart/2005/8/layout/orgChart1"/>
    <dgm:cxn modelId="{555B232F-53C9-44E8-A4C2-540C6B6B6F11}" type="presParOf" srcId="{0CFBA51D-31D1-471A-9BC7-2CEB9D7C399F}" destId="{9A795A8B-98A0-4E3A-8C63-BBCD9EC7B428}" srcOrd="2" destOrd="0" presId="urn:microsoft.com/office/officeart/2005/8/layout/orgChart1"/>
    <dgm:cxn modelId="{8E212B79-0BE6-4467-BAE9-75E9BA38542A}" type="presParOf" srcId="{68EA9830-A38B-4137-AD59-A7E86F6FAAA7}" destId="{D978C072-8E92-43C4-91B3-F3E661B7ABAC}" srcOrd="2" destOrd="0" presId="urn:microsoft.com/office/officeart/2005/8/layout/orgChart1"/>
    <dgm:cxn modelId="{372793FD-A1F4-4B1A-A8F0-1A38A04410C1}" type="presParOf" srcId="{68EA9830-A38B-4137-AD59-A7E86F6FAAA7}" destId="{4BE219A9-D29C-4EF0-AD63-17317A4642BE}" srcOrd="3" destOrd="0" presId="urn:microsoft.com/office/officeart/2005/8/layout/orgChart1"/>
    <dgm:cxn modelId="{DF380159-ED4E-465C-89CD-91CC7CB98A2E}" type="presParOf" srcId="{4BE219A9-D29C-4EF0-AD63-17317A4642BE}" destId="{33E3FF0E-3075-4C97-9AB8-B35A81D99026}" srcOrd="0" destOrd="0" presId="urn:microsoft.com/office/officeart/2005/8/layout/orgChart1"/>
    <dgm:cxn modelId="{B3A9C1D1-99B2-4482-8099-C46A2B016D51}" type="presParOf" srcId="{33E3FF0E-3075-4C97-9AB8-B35A81D99026}" destId="{19B89C79-DE41-4F48-9743-7325556D13A7}" srcOrd="0" destOrd="0" presId="urn:microsoft.com/office/officeart/2005/8/layout/orgChart1"/>
    <dgm:cxn modelId="{9F64ABE2-DFDD-4016-A7CA-A3302655FFDD}" type="presParOf" srcId="{33E3FF0E-3075-4C97-9AB8-B35A81D99026}" destId="{135572E7-D0A9-47F1-B57C-3842E7D4BA7A}" srcOrd="1" destOrd="0" presId="urn:microsoft.com/office/officeart/2005/8/layout/orgChart1"/>
    <dgm:cxn modelId="{AEBC8336-E330-47C4-875A-215ED8CD12F4}" type="presParOf" srcId="{4BE219A9-D29C-4EF0-AD63-17317A4642BE}" destId="{E0086AA6-9892-483C-8BF3-8DFA11CB0C89}" srcOrd="1" destOrd="0" presId="urn:microsoft.com/office/officeart/2005/8/layout/orgChart1"/>
    <dgm:cxn modelId="{D389A083-490A-4626-829D-7A2001258CEC}" type="presParOf" srcId="{4BE219A9-D29C-4EF0-AD63-17317A4642BE}" destId="{294FCD5E-48DF-44D1-87AD-8120DD61C071}" srcOrd="2" destOrd="0" presId="urn:microsoft.com/office/officeart/2005/8/layout/orgChart1"/>
    <dgm:cxn modelId="{1508251A-ABD4-43FA-94FC-5302D4287E25}" type="presParOf" srcId="{68EA9830-A38B-4137-AD59-A7E86F6FAAA7}" destId="{8E487ED1-854B-4A52-9737-AAF07A5B6561}" srcOrd="4" destOrd="0" presId="urn:microsoft.com/office/officeart/2005/8/layout/orgChart1"/>
    <dgm:cxn modelId="{736A15C6-F1F7-4469-9765-5A2B55880089}" type="presParOf" srcId="{68EA9830-A38B-4137-AD59-A7E86F6FAAA7}" destId="{0EDA9EF3-F649-4B52-AB88-688C9B52ADAD}" srcOrd="5" destOrd="0" presId="urn:microsoft.com/office/officeart/2005/8/layout/orgChart1"/>
    <dgm:cxn modelId="{43BA8F2D-527E-4D77-B09E-6E7161A9B3E1}" type="presParOf" srcId="{0EDA9EF3-F649-4B52-AB88-688C9B52ADAD}" destId="{B6A5BF6A-F825-4E87-9BF1-F12F0E1A2824}" srcOrd="0" destOrd="0" presId="urn:microsoft.com/office/officeart/2005/8/layout/orgChart1"/>
    <dgm:cxn modelId="{D0AFA740-BE14-40D5-BCCA-E932C5E620F7}" type="presParOf" srcId="{B6A5BF6A-F825-4E87-9BF1-F12F0E1A2824}" destId="{0E67771F-D6B3-42E0-A4EC-8EA8EA99163C}" srcOrd="0" destOrd="0" presId="urn:microsoft.com/office/officeart/2005/8/layout/orgChart1"/>
    <dgm:cxn modelId="{8CEA539D-01EC-4F2A-808A-E878CF28EF47}" type="presParOf" srcId="{B6A5BF6A-F825-4E87-9BF1-F12F0E1A2824}" destId="{56227AB4-9AF1-4700-B97A-335834EB032E}" srcOrd="1" destOrd="0" presId="urn:microsoft.com/office/officeart/2005/8/layout/orgChart1"/>
    <dgm:cxn modelId="{35109001-8C7E-4E68-8A8C-198C5E5A603A}" type="presParOf" srcId="{0EDA9EF3-F649-4B52-AB88-688C9B52ADAD}" destId="{5913F22F-50C4-401C-9266-A98924DA7048}" srcOrd="1" destOrd="0" presId="urn:microsoft.com/office/officeart/2005/8/layout/orgChart1"/>
    <dgm:cxn modelId="{54BD7E1E-F693-4E51-9635-B2762AC0720A}" type="presParOf" srcId="{0EDA9EF3-F649-4B52-AB88-688C9B52ADAD}" destId="{2A7854A4-11CB-4163-A81B-CB4274046604}" srcOrd="2" destOrd="0" presId="urn:microsoft.com/office/officeart/2005/8/layout/orgChart1"/>
    <dgm:cxn modelId="{5ED40ADD-1041-44B7-857C-CAD409F86050}" type="presParOf" srcId="{A9655281-1A11-48A7-A397-28B2365A7821}" destId="{B9E18785-60C1-46A6-89DB-EFB0849FC9C4}" srcOrd="2" destOrd="0" presId="urn:microsoft.com/office/officeart/2005/8/layout/orgChart1"/>
    <dgm:cxn modelId="{3459A91B-B9B0-49F2-BCC4-5370BFF2B51B}" type="presParOf" srcId="{FF8BCAD5-BE9A-4430-BBC0-D43BA79507C0}" destId="{0D136685-5600-4E30-BED0-84E704D24193}" srcOrd="4" destOrd="0" presId="urn:microsoft.com/office/officeart/2005/8/layout/orgChart1"/>
    <dgm:cxn modelId="{2FDEB383-773C-4059-9B96-4B60203901C3}" type="presParOf" srcId="{FF8BCAD5-BE9A-4430-BBC0-D43BA79507C0}" destId="{646878FC-A1C4-4169-97C2-0F25682FDB8A}" srcOrd="5" destOrd="0" presId="urn:microsoft.com/office/officeart/2005/8/layout/orgChart1"/>
    <dgm:cxn modelId="{C0B7C717-CE46-4CFC-9B41-14A22D1686A9}" type="presParOf" srcId="{646878FC-A1C4-4169-97C2-0F25682FDB8A}" destId="{B1B56372-9E70-4A18-ABC7-31AC6F3A3149}" srcOrd="0" destOrd="0" presId="urn:microsoft.com/office/officeart/2005/8/layout/orgChart1"/>
    <dgm:cxn modelId="{AE497F41-D0CB-4F3B-ACAD-DD34D8265E15}" type="presParOf" srcId="{B1B56372-9E70-4A18-ABC7-31AC6F3A3149}" destId="{F929D97E-86BE-4488-B496-35906E1F9CAE}" srcOrd="0" destOrd="0" presId="urn:microsoft.com/office/officeart/2005/8/layout/orgChart1"/>
    <dgm:cxn modelId="{E7A6F55D-9EC5-45C4-A7F1-9F0F589307BD}" type="presParOf" srcId="{B1B56372-9E70-4A18-ABC7-31AC6F3A3149}" destId="{B955BC7D-DAC9-4057-99DB-72B0147F93F2}" srcOrd="1" destOrd="0" presId="urn:microsoft.com/office/officeart/2005/8/layout/orgChart1"/>
    <dgm:cxn modelId="{EB1D9C25-3DBA-43AC-8048-CE290BC522B3}" type="presParOf" srcId="{646878FC-A1C4-4169-97C2-0F25682FDB8A}" destId="{44A9F1B2-39FB-45A3-AB69-4CDFB5D6C1C0}" srcOrd="1" destOrd="0" presId="urn:microsoft.com/office/officeart/2005/8/layout/orgChart1"/>
    <dgm:cxn modelId="{72DF257B-9FF8-455A-BDD5-F06E2908A2BA}" type="presParOf" srcId="{44A9F1B2-39FB-45A3-AB69-4CDFB5D6C1C0}" destId="{3BF4E0A2-533F-46EF-B1EF-8466DEC47284}" srcOrd="0" destOrd="0" presId="urn:microsoft.com/office/officeart/2005/8/layout/orgChart1"/>
    <dgm:cxn modelId="{93D0FEDF-B18D-4F40-AAD4-474C1B8B6989}" type="presParOf" srcId="{44A9F1B2-39FB-45A3-AB69-4CDFB5D6C1C0}" destId="{DC2ABF01-CA2C-4A00-AEB8-54EB3DDBCB56}" srcOrd="1" destOrd="0" presId="urn:microsoft.com/office/officeart/2005/8/layout/orgChart1"/>
    <dgm:cxn modelId="{61D335F6-FCF4-4865-9F3F-BD01D3B4D7A6}" type="presParOf" srcId="{DC2ABF01-CA2C-4A00-AEB8-54EB3DDBCB56}" destId="{4DB6B53A-C791-4485-8973-ADD55BCD34BF}" srcOrd="0" destOrd="0" presId="urn:microsoft.com/office/officeart/2005/8/layout/orgChart1"/>
    <dgm:cxn modelId="{D4F48B45-1AAB-4DF7-B48E-AE4FC145FC7E}" type="presParOf" srcId="{4DB6B53A-C791-4485-8973-ADD55BCD34BF}" destId="{A53EE3FD-0868-455B-8BBA-76212B84AD2F}" srcOrd="0" destOrd="0" presId="urn:microsoft.com/office/officeart/2005/8/layout/orgChart1"/>
    <dgm:cxn modelId="{2BD3C4D7-E3ED-4AD5-8162-028E9C6EDA2E}" type="presParOf" srcId="{4DB6B53A-C791-4485-8973-ADD55BCD34BF}" destId="{C24ACD5D-4A90-452B-B807-DD2ACB3F82D7}" srcOrd="1" destOrd="0" presId="urn:microsoft.com/office/officeart/2005/8/layout/orgChart1"/>
    <dgm:cxn modelId="{AF763919-13A6-4646-828F-5EB9C32BA60D}" type="presParOf" srcId="{DC2ABF01-CA2C-4A00-AEB8-54EB3DDBCB56}" destId="{E04CFBD4-1794-4811-9482-8593FC119F23}" srcOrd="1" destOrd="0" presId="urn:microsoft.com/office/officeart/2005/8/layout/orgChart1"/>
    <dgm:cxn modelId="{47B19158-8914-4F0E-A6AB-EDFEBAA2B7B6}" type="presParOf" srcId="{DC2ABF01-CA2C-4A00-AEB8-54EB3DDBCB56}" destId="{78B4F3FE-F575-4231-B68B-11F8300430B1}" srcOrd="2" destOrd="0" presId="urn:microsoft.com/office/officeart/2005/8/layout/orgChart1"/>
    <dgm:cxn modelId="{832E88B0-1D77-4A1D-976F-21B1A4B3BA0B}" type="presParOf" srcId="{44A9F1B2-39FB-45A3-AB69-4CDFB5D6C1C0}" destId="{FD2BD50E-D384-49FE-BB00-71E6AEEEE500}" srcOrd="2" destOrd="0" presId="urn:microsoft.com/office/officeart/2005/8/layout/orgChart1"/>
    <dgm:cxn modelId="{78E5873C-20FD-4DD2-93E2-5F453300C177}" type="presParOf" srcId="{44A9F1B2-39FB-45A3-AB69-4CDFB5D6C1C0}" destId="{C2D4CFC6-EDEA-4994-85C4-82C320A7C677}" srcOrd="3" destOrd="0" presId="urn:microsoft.com/office/officeart/2005/8/layout/orgChart1"/>
    <dgm:cxn modelId="{49971C4A-0D1C-49E8-BABE-AD380306B6EB}" type="presParOf" srcId="{C2D4CFC6-EDEA-4994-85C4-82C320A7C677}" destId="{D088533D-A6D4-42DD-8549-CE6D6612641C}" srcOrd="0" destOrd="0" presId="urn:microsoft.com/office/officeart/2005/8/layout/orgChart1"/>
    <dgm:cxn modelId="{5FA2A9B7-E6A5-46E2-9498-9C3F0DFEBDBB}" type="presParOf" srcId="{D088533D-A6D4-42DD-8549-CE6D6612641C}" destId="{1BB92FE5-CE5A-41FE-B673-C4A4F62BF5AB}" srcOrd="0" destOrd="0" presId="urn:microsoft.com/office/officeart/2005/8/layout/orgChart1"/>
    <dgm:cxn modelId="{EB56ACA5-4D8A-4BF2-9900-1A2AB84FC99D}" type="presParOf" srcId="{D088533D-A6D4-42DD-8549-CE6D6612641C}" destId="{C55C49B2-409B-4525-9D61-0D463E355467}" srcOrd="1" destOrd="0" presId="urn:microsoft.com/office/officeart/2005/8/layout/orgChart1"/>
    <dgm:cxn modelId="{BB38F006-6075-4484-A248-CB48BC5B46F0}" type="presParOf" srcId="{C2D4CFC6-EDEA-4994-85C4-82C320A7C677}" destId="{01E9F9E7-41C4-4196-B067-4AA632BDE21D}" srcOrd="1" destOrd="0" presId="urn:microsoft.com/office/officeart/2005/8/layout/orgChart1"/>
    <dgm:cxn modelId="{1C7A8566-2754-4D72-816C-9EAF263759A7}" type="presParOf" srcId="{C2D4CFC6-EDEA-4994-85C4-82C320A7C677}" destId="{16BFCAC6-DC2E-45FA-B317-635DF3BD8F62}" srcOrd="2" destOrd="0" presId="urn:microsoft.com/office/officeart/2005/8/layout/orgChart1"/>
    <dgm:cxn modelId="{C3409F0C-EE2F-4F56-B183-A12D2DF4B7F2}" type="presParOf" srcId="{44A9F1B2-39FB-45A3-AB69-4CDFB5D6C1C0}" destId="{FEA01142-F62E-4F09-955A-6EF0C7069331}" srcOrd="4" destOrd="0" presId="urn:microsoft.com/office/officeart/2005/8/layout/orgChart1"/>
    <dgm:cxn modelId="{F9D802EB-65A0-4246-B3E0-406DE206FF8A}" type="presParOf" srcId="{44A9F1B2-39FB-45A3-AB69-4CDFB5D6C1C0}" destId="{F53AEB9B-37A0-47A7-9844-7F512AC66904}" srcOrd="5" destOrd="0" presId="urn:microsoft.com/office/officeart/2005/8/layout/orgChart1"/>
    <dgm:cxn modelId="{B01A1423-3DC9-4E8A-BADB-2CD5FF7624CD}" type="presParOf" srcId="{F53AEB9B-37A0-47A7-9844-7F512AC66904}" destId="{5BDCB8CB-9218-4565-AD2A-723662D72680}" srcOrd="0" destOrd="0" presId="urn:microsoft.com/office/officeart/2005/8/layout/orgChart1"/>
    <dgm:cxn modelId="{C8414560-C216-4F17-9985-F4E1A4E11DBF}" type="presParOf" srcId="{5BDCB8CB-9218-4565-AD2A-723662D72680}" destId="{B509DCB6-92BF-408D-9332-348533AC8AE4}" srcOrd="0" destOrd="0" presId="urn:microsoft.com/office/officeart/2005/8/layout/orgChart1"/>
    <dgm:cxn modelId="{D615A7D4-7125-4F0A-95E3-22470D4513CC}" type="presParOf" srcId="{5BDCB8CB-9218-4565-AD2A-723662D72680}" destId="{260E8905-E423-4F36-BAD2-9471CD368CFA}" srcOrd="1" destOrd="0" presId="urn:microsoft.com/office/officeart/2005/8/layout/orgChart1"/>
    <dgm:cxn modelId="{7F0D106E-A235-4592-9F2E-F83EB0FFA88A}" type="presParOf" srcId="{F53AEB9B-37A0-47A7-9844-7F512AC66904}" destId="{5477AFEF-68F3-4E40-A383-B71021CC1C12}" srcOrd="1" destOrd="0" presId="urn:microsoft.com/office/officeart/2005/8/layout/orgChart1"/>
    <dgm:cxn modelId="{0D59618E-DEFD-4A0F-9269-6175BE3C5335}" type="presParOf" srcId="{F53AEB9B-37A0-47A7-9844-7F512AC66904}" destId="{C9993A71-F16C-4C0F-90DE-5F6B5DE2D2C9}" srcOrd="2" destOrd="0" presId="urn:microsoft.com/office/officeart/2005/8/layout/orgChart1"/>
    <dgm:cxn modelId="{6E1A96F8-EB81-449B-A9E6-56CF5D72E662}" type="presParOf" srcId="{646878FC-A1C4-4169-97C2-0F25682FDB8A}" destId="{24437570-CAF3-40CD-AC31-3F36F640E640}" srcOrd="2" destOrd="0" presId="urn:microsoft.com/office/officeart/2005/8/layout/orgChart1"/>
    <dgm:cxn modelId="{856363DA-67E9-4756-BCC8-882E9D520068}" type="presParOf" srcId="{FF8BCAD5-BE9A-4430-BBC0-D43BA79507C0}" destId="{93F63975-AD3A-48CE-8A6A-39CA9BB236AA}" srcOrd="6" destOrd="0" presId="urn:microsoft.com/office/officeart/2005/8/layout/orgChart1"/>
    <dgm:cxn modelId="{FF0D979E-F88A-48B2-A598-67950A4672F3}" type="presParOf" srcId="{FF8BCAD5-BE9A-4430-BBC0-D43BA79507C0}" destId="{49325649-D094-4BD1-A2F7-B0C137CD3783}" srcOrd="7" destOrd="0" presId="urn:microsoft.com/office/officeart/2005/8/layout/orgChart1"/>
    <dgm:cxn modelId="{1CFD233F-2A5F-47BC-8AB1-D5F2FCA00E9D}" type="presParOf" srcId="{49325649-D094-4BD1-A2F7-B0C137CD3783}" destId="{70789CCD-8B0C-49CD-B4B8-0C065B45323F}" srcOrd="0" destOrd="0" presId="urn:microsoft.com/office/officeart/2005/8/layout/orgChart1"/>
    <dgm:cxn modelId="{54EE507B-5D8E-4C4B-99F5-F9FC7D4B485D}" type="presParOf" srcId="{70789CCD-8B0C-49CD-B4B8-0C065B45323F}" destId="{0A209B85-31FA-4E41-BE45-2EB0F430555C}" srcOrd="0" destOrd="0" presId="urn:microsoft.com/office/officeart/2005/8/layout/orgChart1"/>
    <dgm:cxn modelId="{797719CD-5345-4850-B60D-89F7018D64F3}" type="presParOf" srcId="{70789CCD-8B0C-49CD-B4B8-0C065B45323F}" destId="{93AA080D-57AE-4E81-958D-F9A1D38E6CF3}" srcOrd="1" destOrd="0" presId="urn:microsoft.com/office/officeart/2005/8/layout/orgChart1"/>
    <dgm:cxn modelId="{C25FAE36-FA78-4001-A494-B34B63ADF1FB}" type="presParOf" srcId="{49325649-D094-4BD1-A2F7-B0C137CD3783}" destId="{5B8EF062-37A5-49E6-A886-57B55A36AD80}" srcOrd="1" destOrd="0" presId="urn:microsoft.com/office/officeart/2005/8/layout/orgChart1"/>
    <dgm:cxn modelId="{E296EEDA-8719-410E-99E2-E00EDE262C37}" type="presParOf" srcId="{5B8EF062-37A5-49E6-A886-57B55A36AD80}" destId="{07890C3C-0C34-43C6-B53A-43502EC7872E}" srcOrd="0" destOrd="0" presId="urn:microsoft.com/office/officeart/2005/8/layout/orgChart1"/>
    <dgm:cxn modelId="{778316E0-E70B-41A2-B54A-E935B6F023FA}" type="presParOf" srcId="{5B8EF062-37A5-49E6-A886-57B55A36AD80}" destId="{E81F8071-148A-4763-8EFF-7359EBC8DE40}" srcOrd="1" destOrd="0" presId="urn:microsoft.com/office/officeart/2005/8/layout/orgChart1"/>
    <dgm:cxn modelId="{499DA8C2-90E3-4382-8D61-170EE223E00F}" type="presParOf" srcId="{E81F8071-148A-4763-8EFF-7359EBC8DE40}" destId="{FDD95A59-FDE0-4E38-BD3F-1AEE9AAEC663}" srcOrd="0" destOrd="0" presId="urn:microsoft.com/office/officeart/2005/8/layout/orgChart1"/>
    <dgm:cxn modelId="{E136269B-F9C9-4E60-885E-98C49F9131C6}" type="presParOf" srcId="{FDD95A59-FDE0-4E38-BD3F-1AEE9AAEC663}" destId="{25CBE439-FF8E-48F7-B5EE-F025139ED159}" srcOrd="0" destOrd="0" presId="urn:microsoft.com/office/officeart/2005/8/layout/orgChart1"/>
    <dgm:cxn modelId="{46ACC402-A40A-4B95-958C-B269E99A3764}" type="presParOf" srcId="{FDD95A59-FDE0-4E38-BD3F-1AEE9AAEC663}" destId="{EA9065D7-9704-4C0A-8D0D-77EE2F0AF926}" srcOrd="1" destOrd="0" presId="urn:microsoft.com/office/officeart/2005/8/layout/orgChart1"/>
    <dgm:cxn modelId="{E1504282-B74F-4D11-9D59-DA7CA4C9EB05}" type="presParOf" srcId="{E81F8071-148A-4763-8EFF-7359EBC8DE40}" destId="{D70D0C17-EA0F-4EA2-88B8-05912BDCDDF2}" srcOrd="1" destOrd="0" presId="urn:microsoft.com/office/officeart/2005/8/layout/orgChart1"/>
    <dgm:cxn modelId="{9617718E-1DD4-4ECD-AC54-2E9ED2502150}" type="presParOf" srcId="{E81F8071-148A-4763-8EFF-7359EBC8DE40}" destId="{7580CB60-37C3-4922-B670-CB79D70669CB}" srcOrd="2" destOrd="0" presId="urn:microsoft.com/office/officeart/2005/8/layout/orgChart1"/>
    <dgm:cxn modelId="{FCDD4178-9A70-4148-8FB6-0D2DCB6E5617}" type="presParOf" srcId="{5B8EF062-37A5-49E6-A886-57B55A36AD80}" destId="{0682577A-DD48-4F68-A560-24C92A32267A}" srcOrd="2" destOrd="0" presId="urn:microsoft.com/office/officeart/2005/8/layout/orgChart1"/>
    <dgm:cxn modelId="{CF03637F-934D-44F3-8185-ED85866D0C26}" type="presParOf" srcId="{5B8EF062-37A5-49E6-A886-57B55A36AD80}" destId="{F807C59A-718A-4B6B-95A4-4DE71D9B58EF}" srcOrd="3" destOrd="0" presId="urn:microsoft.com/office/officeart/2005/8/layout/orgChart1"/>
    <dgm:cxn modelId="{6D28E6CA-A139-414A-9700-2D84EE15D4D7}" type="presParOf" srcId="{F807C59A-718A-4B6B-95A4-4DE71D9B58EF}" destId="{CCA4A9ED-1E46-487D-A4EC-7A1E9512863F}" srcOrd="0" destOrd="0" presId="urn:microsoft.com/office/officeart/2005/8/layout/orgChart1"/>
    <dgm:cxn modelId="{679433CF-5F6C-4945-AEF5-E5D0C9E312C3}" type="presParOf" srcId="{CCA4A9ED-1E46-487D-A4EC-7A1E9512863F}" destId="{340D405E-7980-48FF-92E8-4B1BA0904690}" srcOrd="0" destOrd="0" presId="urn:microsoft.com/office/officeart/2005/8/layout/orgChart1"/>
    <dgm:cxn modelId="{0A95CB78-A307-4A6A-87BF-811F9319B930}" type="presParOf" srcId="{CCA4A9ED-1E46-487D-A4EC-7A1E9512863F}" destId="{8CF0BE38-64A4-48F7-91EA-1C5DF9DE28BA}" srcOrd="1" destOrd="0" presId="urn:microsoft.com/office/officeart/2005/8/layout/orgChart1"/>
    <dgm:cxn modelId="{CA4D2D0C-6FF9-4714-8CD8-613E3B1138A0}" type="presParOf" srcId="{F807C59A-718A-4B6B-95A4-4DE71D9B58EF}" destId="{29A25B00-B975-4C02-86E5-474E22CEC8B6}" srcOrd="1" destOrd="0" presId="urn:microsoft.com/office/officeart/2005/8/layout/orgChart1"/>
    <dgm:cxn modelId="{4B01AB24-C484-4088-9081-642B8BFD4AFF}" type="presParOf" srcId="{F807C59A-718A-4B6B-95A4-4DE71D9B58EF}" destId="{61E0D8D8-696B-4694-AB78-FAF9F716517A}" srcOrd="2" destOrd="0" presId="urn:microsoft.com/office/officeart/2005/8/layout/orgChart1"/>
    <dgm:cxn modelId="{C0A56EE2-4F58-4E48-8445-76A351F8932F}" type="presParOf" srcId="{49325649-D094-4BD1-A2F7-B0C137CD3783}" destId="{91D2895F-3E53-4BC7-9AB0-1076D1CBD59C}" srcOrd="2" destOrd="0" presId="urn:microsoft.com/office/officeart/2005/8/layout/orgChart1"/>
    <dgm:cxn modelId="{50A5D783-B848-4BD9-8D5B-DD59ACA546D7}" type="presParOf" srcId="{03C0F827-EF46-4C6A-8A7B-173F39D63C47}" destId="{3ABEBA5C-E863-4AB9-8F74-BB798A86922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CA0C4A7D-87B4-42FC-B473-86E796E6DB38}" type="doc">
      <dgm:prSet loTypeId="urn:microsoft.com/office/officeart/2005/8/layout/orgChart1" loCatId="hierarchy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CA"/>
        </a:p>
      </dgm:t>
    </dgm:pt>
    <dgm:pt modelId="{3D4AA21C-8618-4D88-ADD2-82497DC1C3C8}">
      <dgm:prSet phldrT="[Text]" custT="1"/>
      <dgm:spPr>
        <a:solidFill>
          <a:schemeClr val="accent6">
            <a:lumMod val="50000"/>
          </a:schemeClr>
        </a:solidFill>
      </dgm:spPr>
      <dgm:t>
        <a:bodyPr/>
        <a:lstStyle/>
        <a:p>
          <a:r>
            <a:rPr lang="en-CA" sz="1000" b="1">
              <a:solidFill>
                <a:schemeClr val="bg1"/>
              </a:solidFill>
              <a:latin typeface="+mn-lt"/>
              <a:ea typeface="+mn-ea"/>
            </a:rPr>
            <a:t>Development</a:t>
          </a:r>
        </a:p>
      </dgm:t>
    </dgm:pt>
    <dgm:pt modelId="{55DD5BB0-27D4-4C12-9A68-2D22B56B3DB9}" type="par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BA36D946-1E1C-4B8A-8920-C56DB42187D5}" type="sib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A5AE3037-5CDE-48B1-980D-BF755907F721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3.4. Account Management</a:t>
          </a:r>
        </a:p>
      </dgm:t>
    </dgm:pt>
    <dgm:pt modelId="{E2EA3DBF-0B05-4BE9-80CF-CD8065633172}" type="parTrans" cxnId="{E12D52B8-7AF8-41E4-8169-4569F54348E5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4B6C03A1-DC02-49AD-83B0-4E4E3C4E4627}" type="sibTrans" cxnId="{E12D52B8-7AF8-41E4-8169-4569F54348E5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1007B6F3-05BC-4F7A-8E1A-37C08373F646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3.3. Pet Browsing</a:t>
          </a:r>
        </a:p>
      </dgm:t>
    </dgm:pt>
    <dgm:pt modelId="{DC323120-D202-4A8E-953D-322761F16AE2}" type="parTrans" cxnId="{E36013EA-09C0-49C1-8A23-0972C103C6B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228E9085-F602-4C47-9F8C-5187B1EC5A82}" type="sibTrans" cxnId="{E36013EA-09C0-49C1-8A23-0972C103C6B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B850433-3650-48AA-859B-F06BE9D5D2A1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B0DE2BE-30B8-41A2-9742-9F7D501ABEE0}" type="parTrans" cxnId="{5E97D352-E701-45B2-AC47-7FC0773CA41F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10704553-64AA-4B37-B0EC-C2F455ECB4C5}" type="sibTrans" cxnId="{5E97D352-E701-45B2-AC47-7FC0773CA41F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F69D1FAD-E8C8-4443-9C53-33D08E3DE8CE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3.2. Pet Management</a:t>
          </a:r>
        </a:p>
      </dgm:t>
    </dgm:pt>
    <dgm:pt modelId="{474A8C66-2F0D-4397-874A-DDCABFDC54EB}" type="parTrans" cxnId="{F56F7FBB-D02E-4B82-A727-8F1A3DE0EADA}">
      <dgm:prSet/>
      <dgm:spPr/>
      <dgm:t>
        <a:bodyPr/>
        <a:lstStyle/>
        <a:p>
          <a:endParaRPr lang="en-CA"/>
        </a:p>
      </dgm:t>
    </dgm:pt>
    <dgm:pt modelId="{F2361F06-5F23-4E4E-93B2-3A55630A94F3}" type="sibTrans" cxnId="{F56F7FBB-D02E-4B82-A727-8F1A3DE0EADA}">
      <dgm:prSet/>
      <dgm:spPr/>
      <dgm:t>
        <a:bodyPr/>
        <a:lstStyle/>
        <a:p>
          <a:endParaRPr lang="en-CA"/>
        </a:p>
      </dgm:t>
    </dgm:pt>
    <dgm:pt modelId="{882B9642-DB5D-4415-8141-174046543928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1768B429-B295-4E12-A4E5-2959760A26BB}" type="parTrans" cxnId="{26035A75-A7B8-481A-9B7C-A1DD774E82AB}">
      <dgm:prSet/>
      <dgm:spPr/>
      <dgm:t>
        <a:bodyPr/>
        <a:lstStyle/>
        <a:p>
          <a:endParaRPr lang="en-CA"/>
        </a:p>
      </dgm:t>
    </dgm:pt>
    <dgm:pt modelId="{CEF1BA8D-8962-4916-A848-7A69DE1F430D}" type="sibTrans" cxnId="{26035A75-A7B8-481A-9B7C-A1DD774E82AB}">
      <dgm:prSet/>
      <dgm:spPr/>
      <dgm:t>
        <a:bodyPr/>
        <a:lstStyle/>
        <a:p>
          <a:endParaRPr lang="en-CA"/>
        </a:p>
      </dgm:t>
    </dgm:pt>
    <dgm:pt modelId="{8B0EAEC7-B4D5-4CF1-85E4-FC7CBAB245A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FA1804DE-9856-4A08-B6E3-E8E7C1EC73C0}" type="parTrans" cxnId="{6ED3C603-97B0-4752-B216-DC9E87E399A5}">
      <dgm:prSet/>
      <dgm:spPr/>
      <dgm:t>
        <a:bodyPr/>
        <a:lstStyle/>
        <a:p>
          <a:endParaRPr lang="en-CA"/>
        </a:p>
      </dgm:t>
    </dgm:pt>
    <dgm:pt modelId="{00DA78FB-7979-4ADC-A1E7-89CD20DF37F4}" type="sibTrans" cxnId="{6ED3C603-97B0-4752-B216-DC9E87E399A5}">
      <dgm:prSet/>
      <dgm:spPr/>
      <dgm:t>
        <a:bodyPr/>
        <a:lstStyle/>
        <a:p>
          <a:endParaRPr lang="en-CA"/>
        </a:p>
      </dgm:t>
    </dgm:pt>
    <dgm:pt modelId="{0202D3B0-F039-4A45-9B54-52DE61CC6EBF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Accessing Pet Details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DA5B83C-D6D6-4F7C-810E-D00E25F2DA99}" type="parTrans" cxnId="{9462EE48-C752-4738-8121-7C5F5D8E3EA9}">
      <dgm:prSet/>
      <dgm:spPr/>
      <dgm:t>
        <a:bodyPr/>
        <a:lstStyle/>
        <a:p>
          <a:endParaRPr lang="en-CA"/>
        </a:p>
      </dgm:t>
    </dgm:pt>
    <dgm:pt modelId="{B9F88689-25EB-4604-9BE4-089FAC838E94}" type="sibTrans" cxnId="{9462EE48-C752-4738-8121-7C5F5D8E3EA9}">
      <dgm:prSet/>
      <dgm:spPr/>
      <dgm:t>
        <a:bodyPr/>
        <a:lstStyle/>
        <a:p>
          <a:endParaRPr lang="en-CA"/>
        </a:p>
      </dgm:t>
    </dgm:pt>
    <dgm:pt modelId="{367DA472-A6B5-4A65-AA92-ABD67FD1CC0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190B60C-4242-4AB8-BE76-B364159818C9}" type="parTrans" cxnId="{CFCB7A42-AF82-45F9-9001-D0C2BA0C1D68}">
      <dgm:prSet/>
      <dgm:spPr/>
      <dgm:t>
        <a:bodyPr/>
        <a:lstStyle/>
        <a:p>
          <a:endParaRPr lang="en-CA"/>
        </a:p>
      </dgm:t>
    </dgm:pt>
    <dgm:pt modelId="{15DB7952-266A-46BB-A9FF-6186DD342E36}" type="sibTrans" cxnId="{CFCB7A42-AF82-45F9-9001-D0C2BA0C1D68}">
      <dgm:prSet/>
      <dgm:spPr/>
      <dgm:t>
        <a:bodyPr/>
        <a:lstStyle/>
        <a:p>
          <a:endParaRPr lang="en-CA"/>
        </a:p>
      </dgm:t>
    </dgm:pt>
    <dgm:pt modelId="{BAD477F3-63B5-42EE-B3B5-05689244E517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A3C9C18B-9E10-4A65-87A8-C6D2F29C4622}" type="parTrans" cxnId="{9B2D7A24-DB78-4C8D-88B7-D2C0CE2B8877}">
      <dgm:prSet/>
      <dgm:spPr/>
      <dgm:t>
        <a:bodyPr/>
        <a:lstStyle/>
        <a:p>
          <a:endParaRPr lang="en-CA"/>
        </a:p>
      </dgm:t>
    </dgm:pt>
    <dgm:pt modelId="{81F2F3B1-1E4B-4A1D-937B-28A35B243ECF}" type="sibTrans" cxnId="{9B2D7A24-DB78-4C8D-88B7-D2C0CE2B8877}">
      <dgm:prSet/>
      <dgm:spPr/>
      <dgm:t>
        <a:bodyPr/>
        <a:lstStyle/>
        <a:p>
          <a:endParaRPr lang="en-CA"/>
        </a:p>
      </dgm:t>
    </dgm:pt>
    <dgm:pt modelId="{ED054F05-DECF-448A-832E-B98612B081A1}">
      <dgm:prSet phldrT="[Text]" custT="1"/>
      <dgm:spPr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350" tIns="6350" rIns="6350" bIns="6350" numCol="1" spcCol="1270" anchor="ctr" anchorCtr="0"/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3.1. Authentication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759A86B6-2F79-4936-8581-07D0B45049CD}" type="parTrans" cxnId="{426D991C-BC7B-4286-A3EF-54B92D418A56}">
      <dgm:prSet/>
      <dgm:spPr/>
      <dgm:t>
        <a:bodyPr/>
        <a:lstStyle/>
        <a:p>
          <a:endParaRPr lang="en-CA"/>
        </a:p>
      </dgm:t>
    </dgm:pt>
    <dgm:pt modelId="{5E0090F4-BA9F-4822-A5B4-2C1E9396E774}" type="sibTrans" cxnId="{426D991C-BC7B-4286-A3EF-54B92D418A56}">
      <dgm:prSet/>
      <dgm:spPr/>
      <dgm:t>
        <a:bodyPr/>
        <a:lstStyle/>
        <a:p>
          <a:endParaRPr lang="en-CA"/>
        </a:p>
      </dgm:t>
    </dgm:pt>
    <dgm:pt modelId="{728EF172-F1A2-4630-ACBD-09151A8D42E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3.4.1. Login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E0E28DCF-A5AB-4C9B-8D6E-5C57C3D6B80D}" type="parTrans" cxnId="{DDD991E8-0698-44E8-A37F-6B5F05ED00D4}">
      <dgm:prSet/>
      <dgm:spPr/>
      <dgm:t>
        <a:bodyPr/>
        <a:lstStyle/>
        <a:p>
          <a:endParaRPr lang="en-CA"/>
        </a:p>
      </dgm:t>
    </dgm:pt>
    <dgm:pt modelId="{06896C4B-0AE3-4711-993A-9BB0A56EB6F2}" type="sibTrans" cxnId="{DDD991E8-0698-44E8-A37F-6B5F05ED00D4}">
      <dgm:prSet/>
      <dgm:spPr/>
      <dgm:t>
        <a:bodyPr/>
        <a:lstStyle/>
        <a:p>
          <a:endParaRPr lang="en-CA"/>
        </a:p>
      </dgm:t>
    </dgm:pt>
    <dgm:pt modelId="{66822BD2-E0EA-4B23-8515-68CA5DAF36F2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3.4.2. Registration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CA170EC8-BD45-473C-9A48-D8E4B862E170}" type="parTrans" cxnId="{FCB5A58B-E24A-469E-A23E-5C47ED6D1DBE}">
      <dgm:prSet/>
      <dgm:spPr/>
      <dgm:t>
        <a:bodyPr/>
        <a:lstStyle/>
        <a:p>
          <a:endParaRPr lang="en-CA"/>
        </a:p>
      </dgm:t>
    </dgm:pt>
    <dgm:pt modelId="{9E76F400-F081-40C5-B061-15C7F717FAD8}" type="sibTrans" cxnId="{FCB5A58B-E24A-469E-A23E-5C47ED6D1DBE}">
      <dgm:prSet/>
      <dgm:spPr/>
      <dgm:t>
        <a:bodyPr/>
        <a:lstStyle/>
        <a:p>
          <a:endParaRPr lang="en-CA"/>
        </a:p>
      </dgm:t>
    </dgm:pt>
    <dgm:pt modelId="{F56A11B0-F829-4403-B03B-66574A081A1D}">
      <dgm:prSet phldrT="[Text]" custT="1"/>
      <dgm:spPr>
        <a:solidFill>
          <a:schemeClr val="accent4">
            <a:lumMod val="60000"/>
            <a:lumOff val="40000"/>
          </a:schemeClr>
        </a:solidFill>
      </dgm:spPr>
      <dgm:t>
        <a:bodyPr lIns="108000" tIns="72000" rIns="36000" bIns="72000"/>
        <a:lstStyle/>
        <a:p>
          <a:pPr algn="l"/>
          <a:r>
            <a:rPr lang="en-CA" sz="1000" dirty="0">
              <a:solidFill>
                <a:sysClr val="windowText" lastClr="000000"/>
              </a:solidFill>
            </a:rPr>
            <a:t>3.1.1. Edit Profile Name</a:t>
          </a:r>
          <a:endParaRPr lang="en-CA" sz="1000">
            <a:solidFill>
              <a:sysClr val="windowText" lastClr="000000"/>
            </a:solidFill>
            <a:latin typeface="+mn-lt"/>
          </a:endParaRPr>
        </a:p>
      </dgm:t>
    </dgm:pt>
    <dgm:pt modelId="{1795EB77-CC6C-4AC9-AEB9-E8649F4A642D}" type="sibTrans" cxnId="{348ADE71-4DE7-4FC4-8AD4-2C3B295510A4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3EE6172B-B803-440C-92DD-765D3BC6ACDB}" type="parTrans" cxnId="{348ADE71-4DE7-4FC4-8AD4-2C3B295510A4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5CAD7F8E-2D4B-494E-A9B3-8662F2F1C876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393E730C-51B3-4EB3-A4BB-C31B5045F139}" type="sibTrans" cxnId="{2A34B621-429B-41E7-8116-28E63095749A}">
      <dgm:prSet/>
      <dgm:spPr/>
      <dgm:t>
        <a:bodyPr/>
        <a:lstStyle/>
        <a:p>
          <a:endParaRPr lang="en-CA"/>
        </a:p>
      </dgm:t>
    </dgm:pt>
    <dgm:pt modelId="{A716377B-5CE5-4BB0-887C-C66ADEDEFCD0}" type="parTrans" cxnId="{2A34B621-429B-41E7-8116-28E63095749A}">
      <dgm:prSet/>
      <dgm:spPr/>
      <dgm:t>
        <a:bodyPr/>
        <a:lstStyle/>
        <a:p>
          <a:endParaRPr lang="en-CA"/>
        </a:p>
      </dgm:t>
    </dgm:pt>
    <dgm:pt modelId="{2FFF8319-69F4-486B-882F-5B37384F1260}">
      <dgm:prSet phldrT="[Text]" custT="1"/>
      <dgm:spPr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gm:t>
    </dgm:pt>
    <dgm:pt modelId="{9D29A0EC-B56A-4231-9A14-54A739D4E7C0}" type="sibTrans" cxnId="{4A9D80B2-A778-4F3C-BF32-893B6F3B935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ECF0464-F6E6-4CE3-8866-0ED853614CC9}" type="parTrans" cxnId="{4A9D80B2-A778-4F3C-BF32-893B6F3B935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AE5E83A7-0964-4C8F-AE38-A162F9EC1141}" type="pres">
      <dgm:prSet presAssocID="{CA0C4A7D-87B4-42FC-B473-86E796E6DB3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3C0F827-EF46-4C6A-8A7B-173F39D63C47}" type="pres">
      <dgm:prSet presAssocID="{3D4AA21C-8618-4D88-ADD2-82497DC1C3C8}" presName="hierRoot1" presStyleCnt="0">
        <dgm:presLayoutVars>
          <dgm:hierBranch val="init"/>
        </dgm:presLayoutVars>
      </dgm:prSet>
      <dgm:spPr/>
    </dgm:pt>
    <dgm:pt modelId="{C17EA8BB-09B7-4C3C-8988-EB642C1DB8DA}" type="pres">
      <dgm:prSet presAssocID="{3D4AA21C-8618-4D88-ADD2-82497DC1C3C8}" presName="rootComposite1" presStyleCnt="0"/>
      <dgm:spPr/>
    </dgm:pt>
    <dgm:pt modelId="{C9906B2A-6D0D-4B97-86E9-67AB72BB51C3}" type="pres">
      <dgm:prSet presAssocID="{3D4AA21C-8618-4D88-ADD2-82497DC1C3C8}" presName="rootText1" presStyleLbl="node0" presStyleIdx="0" presStyleCnt="1" custScaleX="275290" custScaleY="110116">
        <dgm:presLayoutVars>
          <dgm:chPref val="3"/>
        </dgm:presLayoutVars>
      </dgm:prSet>
      <dgm:spPr>
        <a:prstGeom prst="roundRect">
          <a:avLst/>
        </a:prstGeom>
      </dgm:spPr>
    </dgm:pt>
    <dgm:pt modelId="{02ACD5D0-6C9D-484A-BD23-29ABC006DAEA}" type="pres">
      <dgm:prSet presAssocID="{3D4AA21C-8618-4D88-ADD2-82497DC1C3C8}" presName="rootConnector1" presStyleLbl="node1" presStyleIdx="0" presStyleCnt="0"/>
      <dgm:spPr/>
    </dgm:pt>
    <dgm:pt modelId="{FF8BCAD5-BE9A-4430-BBC0-D43BA79507C0}" type="pres">
      <dgm:prSet presAssocID="{3D4AA21C-8618-4D88-ADD2-82497DC1C3C8}" presName="hierChild2" presStyleCnt="0"/>
      <dgm:spPr/>
    </dgm:pt>
    <dgm:pt modelId="{93F63975-AD3A-48CE-8A6A-39CA9BB236AA}" type="pres">
      <dgm:prSet presAssocID="{759A86B6-2F79-4936-8581-07D0B45049CD}" presName="Name37" presStyleLbl="parChTrans1D2" presStyleIdx="0" presStyleCnt="4"/>
      <dgm:spPr/>
    </dgm:pt>
    <dgm:pt modelId="{49325649-D094-4BD1-A2F7-B0C137CD3783}" type="pres">
      <dgm:prSet presAssocID="{ED054F05-DECF-448A-832E-B98612B081A1}" presName="hierRoot2" presStyleCnt="0">
        <dgm:presLayoutVars>
          <dgm:hierBranch val="init"/>
        </dgm:presLayoutVars>
      </dgm:prSet>
      <dgm:spPr/>
    </dgm:pt>
    <dgm:pt modelId="{70789CCD-8B0C-49CD-B4B8-0C065B45323F}" type="pres">
      <dgm:prSet presAssocID="{ED054F05-DECF-448A-832E-B98612B081A1}" presName="rootComposite" presStyleCnt="0"/>
      <dgm:spPr/>
    </dgm:pt>
    <dgm:pt modelId="{0A209B85-31FA-4E41-BE45-2EB0F430555C}" type="pres">
      <dgm:prSet presAssocID="{ED054F05-DECF-448A-832E-B98612B081A1}" presName="rootText" presStyleLbl="node2" presStyleIdx="0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93AA080D-57AE-4E81-958D-F9A1D38E6CF3}" type="pres">
      <dgm:prSet presAssocID="{ED054F05-DECF-448A-832E-B98612B081A1}" presName="rootConnector" presStyleLbl="node2" presStyleIdx="0" presStyleCnt="4"/>
      <dgm:spPr/>
    </dgm:pt>
    <dgm:pt modelId="{5B8EF062-37A5-49E6-A886-57B55A36AD80}" type="pres">
      <dgm:prSet presAssocID="{ED054F05-DECF-448A-832E-B98612B081A1}" presName="hierChild4" presStyleCnt="0"/>
      <dgm:spPr/>
    </dgm:pt>
    <dgm:pt modelId="{07890C3C-0C34-43C6-B53A-43502EC7872E}" type="pres">
      <dgm:prSet presAssocID="{E0E28DCF-A5AB-4C9B-8D6E-5C57C3D6B80D}" presName="Name37" presStyleLbl="parChTrans1D3" presStyleIdx="0" presStyleCnt="11"/>
      <dgm:spPr/>
    </dgm:pt>
    <dgm:pt modelId="{E81F8071-148A-4763-8EFF-7359EBC8DE40}" type="pres">
      <dgm:prSet presAssocID="{728EF172-F1A2-4630-ACBD-09151A8D42E0}" presName="hierRoot2" presStyleCnt="0">
        <dgm:presLayoutVars>
          <dgm:hierBranch val="init"/>
        </dgm:presLayoutVars>
      </dgm:prSet>
      <dgm:spPr/>
    </dgm:pt>
    <dgm:pt modelId="{FDD95A59-FDE0-4E38-BD3F-1AEE9AAEC663}" type="pres">
      <dgm:prSet presAssocID="{728EF172-F1A2-4630-ACBD-09151A8D42E0}" presName="rootComposite" presStyleCnt="0"/>
      <dgm:spPr/>
    </dgm:pt>
    <dgm:pt modelId="{25CBE439-FF8E-48F7-B5EE-F025139ED159}" type="pres">
      <dgm:prSet presAssocID="{728EF172-F1A2-4630-ACBD-09151A8D42E0}" presName="rootText" presStyleLbl="node3" presStyleIdx="0" presStyleCnt="11" custScaleX="268674" custScaleY="134337">
        <dgm:presLayoutVars>
          <dgm:chPref val="3"/>
        </dgm:presLayoutVars>
      </dgm:prSet>
      <dgm:spPr>
        <a:xfrm>
          <a:off x="7004081" y="1165427"/>
          <a:ext cx="1756739" cy="439184"/>
        </a:xfrm>
        <a:prstGeom prst="roundRect">
          <a:avLst/>
        </a:prstGeom>
      </dgm:spPr>
    </dgm:pt>
    <dgm:pt modelId="{EA9065D7-9704-4C0A-8D0D-77EE2F0AF926}" type="pres">
      <dgm:prSet presAssocID="{728EF172-F1A2-4630-ACBD-09151A8D42E0}" presName="rootConnector" presStyleLbl="node3" presStyleIdx="0" presStyleCnt="11"/>
      <dgm:spPr/>
    </dgm:pt>
    <dgm:pt modelId="{D70D0C17-EA0F-4EA2-88B8-05912BDCDDF2}" type="pres">
      <dgm:prSet presAssocID="{728EF172-F1A2-4630-ACBD-09151A8D42E0}" presName="hierChild4" presStyleCnt="0"/>
      <dgm:spPr/>
    </dgm:pt>
    <dgm:pt modelId="{7580CB60-37C3-4922-B670-CB79D70669CB}" type="pres">
      <dgm:prSet presAssocID="{728EF172-F1A2-4630-ACBD-09151A8D42E0}" presName="hierChild5" presStyleCnt="0"/>
      <dgm:spPr/>
    </dgm:pt>
    <dgm:pt modelId="{0682577A-DD48-4F68-A560-24C92A32267A}" type="pres">
      <dgm:prSet presAssocID="{CA170EC8-BD45-473C-9A48-D8E4B862E170}" presName="Name37" presStyleLbl="parChTrans1D3" presStyleIdx="1" presStyleCnt="11"/>
      <dgm:spPr/>
    </dgm:pt>
    <dgm:pt modelId="{F807C59A-718A-4B6B-95A4-4DE71D9B58EF}" type="pres">
      <dgm:prSet presAssocID="{66822BD2-E0EA-4B23-8515-68CA5DAF36F2}" presName="hierRoot2" presStyleCnt="0">
        <dgm:presLayoutVars>
          <dgm:hierBranch val="init"/>
        </dgm:presLayoutVars>
      </dgm:prSet>
      <dgm:spPr/>
    </dgm:pt>
    <dgm:pt modelId="{CCA4A9ED-1E46-487D-A4EC-7A1E9512863F}" type="pres">
      <dgm:prSet presAssocID="{66822BD2-E0EA-4B23-8515-68CA5DAF36F2}" presName="rootComposite" presStyleCnt="0"/>
      <dgm:spPr/>
    </dgm:pt>
    <dgm:pt modelId="{340D405E-7980-48FF-92E8-4B1BA0904690}" type="pres">
      <dgm:prSet presAssocID="{66822BD2-E0EA-4B23-8515-68CA5DAF36F2}" presName="rootText" presStyleLbl="node3" presStyleIdx="1" presStyleCnt="11" custScaleX="268674" custScaleY="134337">
        <dgm:presLayoutVars>
          <dgm:chPref val="3"/>
        </dgm:presLayoutVars>
      </dgm:prSet>
      <dgm:spPr>
        <a:xfrm>
          <a:off x="7004081" y="1741922"/>
          <a:ext cx="1756739" cy="439184"/>
        </a:xfrm>
        <a:prstGeom prst="roundRect">
          <a:avLst/>
        </a:prstGeom>
      </dgm:spPr>
    </dgm:pt>
    <dgm:pt modelId="{8CF0BE38-64A4-48F7-91EA-1C5DF9DE28BA}" type="pres">
      <dgm:prSet presAssocID="{66822BD2-E0EA-4B23-8515-68CA5DAF36F2}" presName="rootConnector" presStyleLbl="node3" presStyleIdx="1" presStyleCnt="11"/>
      <dgm:spPr/>
    </dgm:pt>
    <dgm:pt modelId="{29A25B00-B975-4C02-86E5-474E22CEC8B6}" type="pres">
      <dgm:prSet presAssocID="{66822BD2-E0EA-4B23-8515-68CA5DAF36F2}" presName="hierChild4" presStyleCnt="0"/>
      <dgm:spPr/>
    </dgm:pt>
    <dgm:pt modelId="{61E0D8D8-696B-4694-AB78-FAF9F716517A}" type="pres">
      <dgm:prSet presAssocID="{66822BD2-E0EA-4B23-8515-68CA5DAF36F2}" presName="hierChild5" presStyleCnt="0"/>
      <dgm:spPr/>
    </dgm:pt>
    <dgm:pt modelId="{91D2895F-3E53-4BC7-9AB0-1076D1CBD59C}" type="pres">
      <dgm:prSet presAssocID="{ED054F05-DECF-448A-832E-B98612B081A1}" presName="hierChild5" presStyleCnt="0"/>
      <dgm:spPr/>
    </dgm:pt>
    <dgm:pt modelId="{0D136685-5600-4E30-BED0-84E704D24193}" type="pres">
      <dgm:prSet presAssocID="{474A8C66-2F0D-4397-874A-DDCABFDC54EB}" presName="Name37" presStyleLbl="parChTrans1D2" presStyleIdx="1" presStyleCnt="4"/>
      <dgm:spPr/>
    </dgm:pt>
    <dgm:pt modelId="{646878FC-A1C4-4169-97C2-0F25682FDB8A}" type="pres">
      <dgm:prSet presAssocID="{F69D1FAD-E8C8-4443-9C53-33D08E3DE8CE}" presName="hierRoot2" presStyleCnt="0">
        <dgm:presLayoutVars>
          <dgm:hierBranch val="init"/>
        </dgm:presLayoutVars>
      </dgm:prSet>
      <dgm:spPr/>
    </dgm:pt>
    <dgm:pt modelId="{B1B56372-9E70-4A18-ABC7-31AC6F3A3149}" type="pres">
      <dgm:prSet presAssocID="{F69D1FAD-E8C8-4443-9C53-33D08E3DE8CE}" presName="rootComposite" presStyleCnt="0"/>
      <dgm:spPr/>
    </dgm:pt>
    <dgm:pt modelId="{F929D97E-86BE-4488-B496-35906E1F9CAE}" type="pres">
      <dgm:prSet presAssocID="{F69D1FAD-E8C8-4443-9C53-33D08E3DE8CE}" presName="rootText" presStyleLbl="node2" presStyleIdx="1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55BC7D-DAC9-4057-99DB-72B0147F93F2}" type="pres">
      <dgm:prSet presAssocID="{F69D1FAD-E8C8-4443-9C53-33D08E3DE8CE}" presName="rootConnector" presStyleLbl="node2" presStyleIdx="1" presStyleCnt="4"/>
      <dgm:spPr/>
    </dgm:pt>
    <dgm:pt modelId="{44A9F1B2-39FB-45A3-AB69-4CDFB5D6C1C0}" type="pres">
      <dgm:prSet presAssocID="{F69D1FAD-E8C8-4443-9C53-33D08E3DE8CE}" presName="hierChild4" presStyleCnt="0"/>
      <dgm:spPr/>
    </dgm:pt>
    <dgm:pt modelId="{3BF4E0A2-533F-46EF-B1EF-8466DEC47284}" type="pres">
      <dgm:prSet presAssocID="{7B0DE2BE-30B8-41A2-9742-9F7D501ABEE0}" presName="Name37" presStyleLbl="parChTrans1D3" presStyleIdx="2" presStyleCnt="11"/>
      <dgm:spPr/>
    </dgm:pt>
    <dgm:pt modelId="{DC2ABF01-CA2C-4A00-AEB8-54EB3DDBCB56}" type="pres">
      <dgm:prSet presAssocID="{4B850433-3650-48AA-859B-F06BE9D5D2A1}" presName="hierRoot2" presStyleCnt="0">
        <dgm:presLayoutVars>
          <dgm:hierBranch val="init"/>
        </dgm:presLayoutVars>
      </dgm:prSet>
      <dgm:spPr/>
    </dgm:pt>
    <dgm:pt modelId="{4DB6B53A-C791-4485-8973-ADD55BCD34BF}" type="pres">
      <dgm:prSet presAssocID="{4B850433-3650-48AA-859B-F06BE9D5D2A1}" presName="rootComposite" presStyleCnt="0"/>
      <dgm:spPr/>
    </dgm:pt>
    <dgm:pt modelId="{A53EE3FD-0868-455B-8BBA-76212B84AD2F}" type="pres">
      <dgm:prSet presAssocID="{4B850433-3650-48AA-859B-F06BE9D5D2A1}" presName="rootText" presStyleLbl="node3" presStyleIdx="2" presStyleCnt="11" custScaleX="268674" custScaleY="134337">
        <dgm:presLayoutVars>
          <dgm:chPref val="3"/>
        </dgm:presLayoutVars>
      </dgm:prSet>
      <dgm:spPr>
        <a:xfrm>
          <a:off x="4839087" y="1165427"/>
          <a:ext cx="1756739" cy="439184"/>
        </a:xfrm>
        <a:prstGeom prst="roundRect">
          <a:avLst/>
        </a:prstGeom>
      </dgm:spPr>
    </dgm:pt>
    <dgm:pt modelId="{C24ACD5D-4A90-452B-B807-DD2ACB3F82D7}" type="pres">
      <dgm:prSet presAssocID="{4B850433-3650-48AA-859B-F06BE9D5D2A1}" presName="rootConnector" presStyleLbl="node3" presStyleIdx="2" presStyleCnt="11"/>
      <dgm:spPr/>
    </dgm:pt>
    <dgm:pt modelId="{E04CFBD4-1794-4811-9482-8593FC119F23}" type="pres">
      <dgm:prSet presAssocID="{4B850433-3650-48AA-859B-F06BE9D5D2A1}" presName="hierChild4" presStyleCnt="0"/>
      <dgm:spPr/>
    </dgm:pt>
    <dgm:pt modelId="{78B4F3FE-F575-4231-B68B-11F8300430B1}" type="pres">
      <dgm:prSet presAssocID="{4B850433-3650-48AA-859B-F06BE9D5D2A1}" presName="hierChild5" presStyleCnt="0"/>
      <dgm:spPr/>
    </dgm:pt>
    <dgm:pt modelId="{FD2BD50E-D384-49FE-BB00-71E6AEEEE500}" type="pres">
      <dgm:prSet presAssocID="{A3C9C18B-9E10-4A65-87A8-C6D2F29C4622}" presName="Name37" presStyleLbl="parChTrans1D3" presStyleIdx="3" presStyleCnt="11"/>
      <dgm:spPr/>
    </dgm:pt>
    <dgm:pt modelId="{C2D4CFC6-EDEA-4994-85C4-82C320A7C677}" type="pres">
      <dgm:prSet presAssocID="{BAD477F3-63B5-42EE-B3B5-05689244E517}" presName="hierRoot2" presStyleCnt="0">
        <dgm:presLayoutVars>
          <dgm:hierBranch val="init"/>
        </dgm:presLayoutVars>
      </dgm:prSet>
      <dgm:spPr/>
    </dgm:pt>
    <dgm:pt modelId="{D088533D-A6D4-42DD-8549-CE6D6612641C}" type="pres">
      <dgm:prSet presAssocID="{BAD477F3-63B5-42EE-B3B5-05689244E517}" presName="rootComposite" presStyleCnt="0"/>
      <dgm:spPr/>
    </dgm:pt>
    <dgm:pt modelId="{1BB92FE5-CE5A-41FE-B673-C4A4F62BF5AB}" type="pres">
      <dgm:prSet presAssocID="{BAD477F3-63B5-42EE-B3B5-05689244E517}" presName="rootText" presStyleLbl="node3" presStyleIdx="3" presStyleCnt="11" custScaleX="268674" custScaleY="134337">
        <dgm:presLayoutVars>
          <dgm:chPref val="3"/>
        </dgm:presLayoutVars>
      </dgm:prSet>
      <dgm:spPr>
        <a:xfrm>
          <a:off x="4839087" y="1741922"/>
          <a:ext cx="1756739" cy="439184"/>
        </a:xfrm>
        <a:prstGeom prst="roundRect">
          <a:avLst/>
        </a:prstGeom>
      </dgm:spPr>
    </dgm:pt>
    <dgm:pt modelId="{C55C49B2-409B-4525-9D61-0D463E355467}" type="pres">
      <dgm:prSet presAssocID="{BAD477F3-63B5-42EE-B3B5-05689244E517}" presName="rootConnector" presStyleLbl="node3" presStyleIdx="3" presStyleCnt="11"/>
      <dgm:spPr/>
    </dgm:pt>
    <dgm:pt modelId="{01E9F9E7-41C4-4196-B067-4AA632BDE21D}" type="pres">
      <dgm:prSet presAssocID="{BAD477F3-63B5-42EE-B3B5-05689244E517}" presName="hierChild4" presStyleCnt="0"/>
      <dgm:spPr/>
    </dgm:pt>
    <dgm:pt modelId="{16BFCAC6-DC2E-45FA-B317-635DF3BD8F62}" type="pres">
      <dgm:prSet presAssocID="{BAD477F3-63B5-42EE-B3B5-05689244E517}" presName="hierChild5" presStyleCnt="0"/>
      <dgm:spPr/>
    </dgm:pt>
    <dgm:pt modelId="{FEA01142-F62E-4F09-955A-6EF0C7069331}" type="pres">
      <dgm:prSet presAssocID="{9190B60C-4242-4AB8-BE76-B364159818C9}" presName="Name37" presStyleLbl="parChTrans1D3" presStyleIdx="4" presStyleCnt="11"/>
      <dgm:spPr/>
    </dgm:pt>
    <dgm:pt modelId="{F53AEB9B-37A0-47A7-9844-7F512AC66904}" type="pres">
      <dgm:prSet presAssocID="{367DA472-A6B5-4A65-AA92-ABD67FD1CC00}" presName="hierRoot2" presStyleCnt="0">
        <dgm:presLayoutVars>
          <dgm:hierBranch val="init"/>
        </dgm:presLayoutVars>
      </dgm:prSet>
      <dgm:spPr/>
    </dgm:pt>
    <dgm:pt modelId="{5BDCB8CB-9218-4565-AD2A-723662D72680}" type="pres">
      <dgm:prSet presAssocID="{367DA472-A6B5-4A65-AA92-ABD67FD1CC00}" presName="rootComposite" presStyleCnt="0"/>
      <dgm:spPr/>
    </dgm:pt>
    <dgm:pt modelId="{B509DCB6-92BF-408D-9332-348533AC8AE4}" type="pres">
      <dgm:prSet presAssocID="{367DA472-A6B5-4A65-AA92-ABD67FD1CC00}" presName="rootText" presStyleLbl="node3" presStyleIdx="4" presStyleCnt="11" custScaleX="268674" custScaleY="134337">
        <dgm:presLayoutVars>
          <dgm:chPref val="3"/>
        </dgm:presLayoutVars>
      </dgm:prSet>
      <dgm:spPr>
        <a:xfrm>
          <a:off x="4839087" y="2318416"/>
          <a:ext cx="1756739" cy="439184"/>
        </a:xfrm>
        <a:prstGeom prst="roundRect">
          <a:avLst/>
        </a:prstGeom>
      </dgm:spPr>
    </dgm:pt>
    <dgm:pt modelId="{260E8905-E423-4F36-BAD2-9471CD368CFA}" type="pres">
      <dgm:prSet presAssocID="{367DA472-A6B5-4A65-AA92-ABD67FD1CC00}" presName="rootConnector" presStyleLbl="node3" presStyleIdx="4" presStyleCnt="11"/>
      <dgm:spPr/>
    </dgm:pt>
    <dgm:pt modelId="{5477AFEF-68F3-4E40-A383-B71021CC1C12}" type="pres">
      <dgm:prSet presAssocID="{367DA472-A6B5-4A65-AA92-ABD67FD1CC00}" presName="hierChild4" presStyleCnt="0"/>
      <dgm:spPr/>
    </dgm:pt>
    <dgm:pt modelId="{C9993A71-F16C-4C0F-90DE-5F6B5DE2D2C9}" type="pres">
      <dgm:prSet presAssocID="{367DA472-A6B5-4A65-AA92-ABD67FD1CC00}" presName="hierChild5" presStyleCnt="0"/>
      <dgm:spPr/>
    </dgm:pt>
    <dgm:pt modelId="{24437570-CAF3-40CD-AC31-3F36F640E640}" type="pres">
      <dgm:prSet presAssocID="{F69D1FAD-E8C8-4443-9C53-33D08E3DE8CE}" presName="hierChild5" presStyleCnt="0"/>
      <dgm:spPr/>
    </dgm:pt>
    <dgm:pt modelId="{F92DD1E1-B9A1-46FB-97E4-955B61300390}" type="pres">
      <dgm:prSet presAssocID="{DC323120-D202-4A8E-953D-322761F16AE2}" presName="Name37" presStyleLbl="parChTrans1D2" presStyleIdx="2" presStyleCnt="4"/>
      <dgm:spPr/>
    </dgm:pt>
    <dgm:pt modelId="{A9655281-1A11-48A7-A397-28B2365A7821}" type="pres">
      <dgm:prSet presAssocID="{1007B6F3-05BC-4F7A-8E1A-37C08373F646}" presName="hierRoot2" presStyleCnt="0">
        <dgm:presLayoutVars>
          <dgm:hierBranch val="init"/>
        </dgm:presLayoutVars>
      </dgm:prSet>
      <dgm:spPr/>
    </dgm:pt>
    <dgm:pt modelId="{16DF5A1D-F328-4D8F-9A64-679F012C89FD}" type="pres">
      <dgm:prSet presAssocID="{1007B6F3-05BC-4F7A-8E1A-37C08373F646}" presName="rootComposite" presStyleCnt="0"/>
      <dgm:spPr/>
    </dgm:pt>
    <dgm:pt modelId="{1BE2E877-A98C-4F5E-B162-7E381A985946}" type="pres">
      <dgm:prSet presAssocID="{1007B6F3-05BC-4F7A-8E1A-37C08373F646}" presName="rootText" presStyleLbl="node2" presStyleIdx="2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B971E225-D9F5-478B-8A95-DB5AA24C6662}" type="pres">
      <dgm:prSet presAssocID="{1007B6F3-05BC-4F7A-8E1A-37C08373F646}" presName="rootConnector" presStyleLbl="node2" presStyleIdx="2" presStyleCnt="4"/>
      <dgm:spPr/>
    </dgm:pt>
    <dgm:pt modelId="{68EA9830-A38B-4137-AD59-A7E86F6FAAA7}" type="pres">
      <dgm:prSet presAssocID="{1007B6F3-05BC-4F7A-8E1A-37C08373F646}" presName="hierChild4" presStyleCnt="0"/>
      <dgm:spPr/>
    </dgm:pt>
    <dgm:pt modelId="{FE6A734C-CD98-41BA-B25A-1C4D4AE8317A}" type="pres">
      <dgm:prSet presAssocID="{1768B429-B295-4E12-A4E5-2959760A26BB}" presName="Name37" presStyleLbl="parChTrans1D3" presStyleIdx="5" presStyleCnt="11"/>
      <dgm:spPr/>
    </dgm:pt>
    <dgm:pt modelId="{0CFBA51D-31D1-471A-9BC7-2CEB9D7C399F}" type="pres">
      <dgm:prSet presAssocID="{882B9642-DB5D-4415-8141-174046543928}" presName="hierRoot2" presStyleCnt="0">
        <dgm:presLayoutVars>
          <dgm:hierBranch val="init"/>
        </dgm:presLayoutVars>
      </dgm:prSet>
      <dgm:spPr/>
    </dgm:pt>
    <dgm:pt modelId="{0D15A8F0-925F-4930-A883-35E4E6551285}" type="pres">
      <dgm:prSet presAssocID="{882B9642-DB5D-4415-8141-174046543928}" presName="rootComposite" presStyleCnt="0"/>
      <dgm:spPr/>
    </dgm:pt>
    <dgm:pt modelId="{6A43EABD-03AA-415F-BE3A-2DD31AB048C5}" type="pres">
      <dgm:prSet presAssocID="{882B9642-DB5D-4415-8141-174046543928}" presName="rootText" presStyleLbl="node3" presStyleIdx="5" presStyleCnt="11" custScaleX="268674" custScaleY="134337">
        <dgm:presLayoutVars>
          <dgm:chPref val="3"/>
        </dgm:presLayoutVars>
      </dgm:prSet>
      <dgm:spPr>
        <a:xfrm>
          <a:off x="2674093" y="1165427"/>
          <a:ext cx="1756739" cy="439184"/>
        </a:xfrm>
        <a:prstGeom prst="roundRect">
          <a:avLst/>
        </a:prstGeom>
      </dgm:spPr>
    </dgm:pt>
    <dgm:pt modelId="{DECA7EAF-1BEF-41A3-ABB3-5EAA3BAAF462}" type="pres">
      <dgm:prSet presAssocID="{882B9642-DB5D-4415-8141-174046543928}" presName="rootConnector" presStyleLbl="node3" presStyleIdx="5" presStyleCnt="11"/>
      <dgm:spPr/>
    </dgm:pt>
    <dgm:pt modelId="{D85C8B7E-C5E4-4E2B-A51E-8DED9E096F4F}" type="pres">
      <dgm:prSet presAssocID="{882B9642-DB5D-4415-8141-174046543928}" presName="hierChild4" presStyleCnt="0"/>
      <dgm:spPr/>
    </dgm:pt>
    <dgm:pt modelId="{9A795A8B-98A0-4E3A-8C63-BBCD9EC7B428}" type="pres">
      <dgm:prSet presAssocID="{882B9642-DB5D-4415-8141-174046543928}" presName="hierChild5" presStyleCnt="0"/>
      <dgm:spPr/>
    </dgm:pt>
    <dgm:pt modelId="{D978C072-8E92-43C4-91B3-F3E661B7ABAC}" type="pres">
      <dgm:prSet presAssocID="{FA1804DE-9856-4A08-B6E3-E8E7C1EC73C0}" presName="Name37" presStyleLbl="parChTrans1D3" presStyleIdx="6" presStyleCnt="11"/>
      <dgm:spPr/>
    </dgm:pt>
    <dgm:pt modelId="{4BE219A9-D29C-4EF0-AD63-17317A4642BE}" type="pres">
      <dgm:prSet presAssocID="{8B0EAEC7-B4D5-4CF1-85E4-FC7CBAB245A6}" presName="hierRoot2" presStyleCnt="0">
        <dgm:presLayoutVars>
          <dgm:hierBranch val="init"/>
        </dgm:presLayoutVars>
      </dgm:prSet>
      <dgm:spPr/>
    </dgm:pt>
    <dgm:pt modelId="{33E3FF0E-3075-4C97-9AB8-B35A81D99026}" type="pres">
      <dgm:prSet presAssocID="{8B0EAEC7-B4D5-4CF1-85E4-FC7CBAB245A6}" presName="rootComposite" presStyleCnt="0"/>
      <dgm:spPr/>
    </dgm:pt>
    <dgm:pt modelId="{19B89C79-DE41-4F48-9743-7325556D13A7}" type="pres">
      <dgm:prSet presAssocID="{8B0EAEC7-B4D5-4CF1-85E4-FC7CBAB245A6}" presName="rootText" presStyleLbl="node3" presStyleIdx="6" presStyleCnt="11" custScaleX="268674" custScaleY="134337">
        <dgm:presLayoutVars>
          <dgm:chPref val="3"/>
        </dgm:presLayoutVars>
      </dgm:prSet>
      <dgm:spPr>
        <a:xfrm>
          <a:off x="2674093" y="1741922"/>
          <a:ext cx="1756739" cy="439184"/>
        </a:xfrm>
        <a:prstGeom prst="roundRect">
          <a:avLst/>
        </a:prstGeom>
      </dgm:spPr>
    </dgm:pt>
    <dgm:pt modelId="{135572E7-D0A9-47F1-B57C-3842E7D4BA7A}" type="pres">
      <dgm:prSet presAssocID="{8B0EAEC7-B4D5-4CF1-85E4-FC7CBAB245A6}" presName="rootConnector" presStyleLbl="node3" presStyleIdx="6" presStyleCnt="11"/>
      <dgm:spPr/>
    </dgm:pt>
    <dgm:pt modelId="{E0086AA6-9892-483C-8BF3-8DFA11CB0C89}" type="pres">
      <dgm:prSet presAssocID="{8B0EAEC7-B4D5-4CF1-85E4-FC7CBAB245A6}" presName="hierChild4" presStyleCnt="0"/>
      <dgm:spPr/>
    </dgm:pt>
    <dgm:pt modelId="{294FCD5E-48DF-44D1-87AD-8120DD61C071}" type="pres">
      <dgm:prSet presAssocID="{8B0EAEC7-B4D5-4CF1-85E4-FC7CBAB245A6}" presName="hierChild5" presStyleCnt="0"/>
      <dgm:spPr/>
    </dgm:pt>
    <dgm:pt modelId="{8E487ED1-854B-4A52-9737-AAF07A5B6561}" type="pres">
      <dgm:prSet presAssocID="{3DA5B83C-D6D6-4F7C-810E-D00E25F2DA99}" presName="Name37" presStyleLbl="parChTrans1D3" presStyleIdx="7" presStyleCnt="11"/>
      <dgm:spPr/>
    </dgm:pt>
    <dgm:pt modelId="{0EDA9EF3-F649-4B52-AB88-688C9B52ADAD}" type="pres">
      <dgm:prSet presAssocID="{0202D3B0-F039-4A45-9B54-52DE61CC6EBF}" presName="hierRoot2" presStyleCnt="0">
        <dgm:presLayoutVars>
          <dgm:hierBranch val="init"/>
        </dgm:presLayoutVars>
      </dgm:prSet>
      <dgm:spPr/>
    </dgm:pt>
    <dgm:pt modelId="{B6A5BF6A-F825-4E87-9BF1-F12F0E1A2824}" type="pres">
      <dgm:prSet presAssocID="{0202D3B0-F039-4A45-9B54-52DE61CC6EBF}" presName="rootComposite" presStyleCnt="0"/>
      <dgm:spPr/>
    </dgm:pt>
    <dgm:pt modelId="{0E67771F-D6B3-42E0-A4EC-8EA8EA99163C}" type="pres">
      <dgm:prSet presAssocID="{0202D3B0-F039-4A45-9B54-52DE61CC6EBF}" presName="rootText" presStyleLbl="node3" presStyleIdx="7" presStyleCnt="11" custScaleX="268674" custScaleY="134337">
        <dgm:presLayoutVars>
          <dgm:chPref val="3"/>
        </dgm:presLayoutVars>
      </dgm:prSet>
      <dgm:spPr>
        <a:xfrm>
          <a:off x="2674093" y="2318416"/>
          <a:ext cx="1756739" cy="439184"/>
        </a:xfrm>
        <a:prstGeom prst="roundRect">
          <a:avLst/>
        </a:prstGeom>
      </dgm:spPr>
    </dgm:pt>
    <dgm:pt modelId="{56227AB4-9AF1-4700-B97A-335834EB032E}" type="pres">
      <dgm:prSet presAssocID="{0202D3B0-F039-4A45-9B54-52DE61CC6EBF}" presName="rootConnector" presStyleLbl="node3" presStyleIdx="7" presStyleCnt="11"/>
      <dgm:spPr/>
    </dgm:pt>
    <dgm:pt modelId="{5913F22F-50C4-401C-9266-A98924DA7048}" type="pres">
      <dgm:prSet presAssocID="{0202D3B0-F039-4A45-9B54-52DE61CC6EBF}" presName="hierChild4" presStyleCnt="0"/>
      <dgm:spPr/>
    </dgm:pt>
    <dgm:pt modelId="{2A7854A4-11CB-4163-A81B-CB4274046604}" type="pres">
      <dgm:prSet presAssocID="{0202D3B0-F039-4A45-9B54-52DE61CC6EBF}" presName="hierChild5" presStyleCnt="0"/>
      <dgm:spPr/>
    </dgm:pt>
    <dgm:pt modelId="{B9E18785-60C1-46A6-89DB-EFB0849FC9C4}" type="pres">
      <dgm:prSet presAssocID="{1007B6F3-05BC-4F7A-8E1A-37C08373F646}" presName="hierChild5" presStyleCnt="0"/>
      <dgm:spPr/>
    </dgm:pt>
    <dgm:pt modelId="{98DD77B9-6508-4827-9493-60FB472DE478}" type="pres">
      <dgm:prSet presAssocID="{E2EA3DBF-0B05-4BE9-80CF-CD8065633172}" presName="Name37" presStyleLbl="parChTrans1D2" presStyleIdx="3" presStyleCnt="4"/>
      <dgm:spPr/>
    </dgm:pt>
    <dgm:pt modelId="{1575CE88-5799-4DA5-9BC6-09897D82DF48}" type="pres">
      <dgm:prSet presAssocID="{A5AE3037-5CDE-48B1-980D-BF755907F721}" presName="hierRoot2" presStyleCnt="0">
        <dgm:presLayoutVars>
          <dgm:hierBranch val="init"/>
        </dgm:presLayoutVars>
      </dgm:prSet>
      <dgm:spPr/>
    </dgm:pt>
    <dgm:pt modelId="{F09DB981-3CD5-4201-8323-D09C948E8960}" type="pres">
      <dgm:prSet presAssocID="{A5AE3037-5CDE-48B1-980D-BF755907F721}" presName="rootComposite" presStyleCnt="0"/>
      <dgm:spPr/>
    </dgm:pt>
    <dgm:pt modelId="{42D1E0BE-354F-4E3C-8806-1977ECF66EA1}" type="pres">
      <dgm:prSet presAssocID="{A5AE3037-5CDE-48B1-980D-BF755907F721}" presName="rootText" presStyleLbl="node2" presStyleIdx="3" presStyleCnt="4" custScaleX="310112" custScaleY="90214">
        <dgm:presLayoutVars>
          <dgm:chPref val="3"/>
        </dgm:presLayoutVars>
      </dgm:prSet>
      <dgm:spPr>
        <a:prstGeom prst="roundRect">
          <a:avLst/>
        </a:prstGeom>
      </dgm:spPr>
    </dgm:pt>
    <dgm:pt modelId="{6280D6AE-52C6-48FA-A310-9B841171A626}" type="pres">
      <dgm:prSet presAssocID="{A5AE3037-5CDE-48B1-980D-BF755907F721}" presName="rootConnector" presStyleLbl="node2" presStyleIdx="3" presStyleCnt="4"/>
      <dgm:spPr/>
    </dgm:pt>
    <dgm:pt modelId="{E2551EF9-F6B8-4D10-ADCE-CA18AB6F6C19}" type="pres">
      <dgm:prSet presAssocID="{A5AE3037-5CDE-48B1-980D-BF755907F721}" presName="hierChild4" presStyleCnt="0"/>
      <dgm:spPr/>
    </dgm:pt>
    <dgm:pt modelId="{24BF0753-546B-46C2-86A1-B85748862C03}" type="pres">
      <dgm:prSet presAssocID="{3EE6172B-B803-440C-92DD-765D3BC6ACDB}" presName="Name37" presStyleLbl="parChTrans1D3" presStyleIdx="8" presStyleCnt="11"/>
      <dgm:spPr/>
    </dgm:pt>
    <dgm:pt modelId="{8697166C-E6C4-4FAC-9932-876C66AFF466}" type="pres">
      <dgm:prSet presAssocID="{F56A11B0-F829-4403-B03B-66574A081A1D}" presName="hierRoot2" presStyleCnt="0">
        <dgm:presLayoutVars>
          <dgm:hierBranch val="init"/>
        </dgm:presLayoutVars>
      </dgm:prSet>
      <dgm:spPr/>
    </dgm:pt>
    <dgm:pt modelId="{288D150C-2503-4F00-B391-0AABDF1A2B25}" type="pres">
      <dgm:prSet presAssocID="{F56A11B0-F829-4403-B03B-66574A081A1D}" presName="rootComposite" presStyleCnt="0"/>
      <dgm:spPr/>
    </dgm:pt>
    <dgm:pt modelId="{6D82EA0F-014F-47C5-883A-DB387EA6CDAE}" type="pres">
      <dgm:prSet presAssocID="{F56A11B0-F829-4403-B03B-66574A081A1D}" presName="rootText" presStyleLbl="node3" presStyleIdx="8" presStyleCnt="11" custScaleX="268674" custScaleY="134337">
        <dgm:presLayoutVars>
          <dgm:chPref val="3"/>
        </dgm:presLayoutVars>
      </dgm:prSet>
      <dgm:spPr>
        <a:prstGeom prst="roundRect">
          <a:avLst/>
        </a:prstGeom>
      </dgm:spPr>
    </dgm:pt>
    <dgm:pt modelId="{F512030C-FBC5-4D3B-A89E-F874314E7A02}" type="pres">
      <dgm:prSet presAssocID="{F56A11B0-F829-4403-B03B-66574A081A1D}" presName="rootConnector" presStyleLbl="node3" presStyleIdx="8" presStyleCnt="11"/>
      <dgm:spPr/>
    </dgm:pt>
    <dgm:pt modelId="{EEE75C39-9E08-4ACA-8276-F910AEA8229E}" type="pres">
      <dgm:prSet presAssocID="{F56A11B0-F829-4403-B03B-66574A081A1D}" presName="hierChild4" presStyleCnt="0"/>
      <dgm:spPr/>
    </dgm:pt>
    <dgm:pt modelId="{FC544A9F-2494-4136-ADB2-6C417971A872}" type="pres">
      <dgm:prSet presAssocID="{F56A11B0-F829-4403-B03B-66574A081A1D}" presName="hierChild5" presStyleCnt="0"/>
      <dgm:spPr/>
    </dgm:pt>
    <dgm:pt modelId="{E3C07E89-C63D-4449-9138-B5EE3042C7A8}" type="pres">
      <dgm:prSet presAssocID="{4ECF0464-F6E6-4CE3-8866-0ED853614CC9}" presName="Name37" presStyleLbl="parChTrans1D3" presStyleIdx="9" presStyleCnt="11"/>
      <dgm:spPr/>
    </dgm:pt>
    <dgm:pt modelId="{21231F1F-CAD0-4EB2-A434-8F3A9A0C0BD5}" type="pres">
      <dgm:prSet presAssocID="{2FFF8319-69F4-486B-882F-5B37384F1260}" presName="hierRoot2" presStyleCnt="0">
        <dgm:presLayoutVars>
          <dgm:hierBranch val="init"/>
        </dgm:presLayoutVars>
      </dgm:prSet>
      <dgm:spPr/>
    </dgm:pt>
    <dgm:pt modelId="{875569A0-C5C9-4FF7-87B8-70C23F8F6DD7}" type="pres">
      <dgm:prSet presAssocID="{2FFF8319-69F4-486B-882F-5B37384F1260}" presName="rootComposite" presStyleCnt="0"/>
      <dgm:spPr/>
    </dgm:pt>
    <dgm:pt modelId="{16466F66-21BE-440C-AFE1-27401EFCD165}" type="pres">
      <dgm:prSet presAssocID="{2FFF8319-69F4-486B-882F-5B37384F1260}" presName="rootText" presStyleLbl="node3" presStyleIdx="9" presStyleCnt="11" custScaleX="268674" custScaleY="134337" custLinFactNeighborX="2150">
        <dgm:presLayoutVars>
          <dgm:chPref val="3"/>
        </dgm:presLayoutVars>
      </dgm:prSet>
      <dgm:spPr>
        <a:xfrm>
          <a:off x="523157" y="1741922"/>
          <a:ext cx="1756739" cy="439184"/>
        </a:xfrm>
        <a:prstGeom prst="roundRect">
          <a:avLst/>
        </a:prstGeom>
      </dgm:spPr>
    </dgm:pt>
    <dgm:pt modelId="{D53A79D7-A77E-459E-B55D-EB99EE7432DA}" type="pres">
      <dgm:prSet presAssocID="{2FFF8319-69F4-486B-882F-5B37384F1260}" presName="rootConnector" presStyleLbl="node3" presStyleIdx="9" presStyleCnt="11"/>
      <dgm:spPr/>
    </dgm:pt>
    <dgm:pt modelId="{BC9CDFBC-A3BD-4452-8253-FC21870E061E}" type="pres">
      <dgm:prSet presAssocID="{2FFF8319-69F4-486B-882F-5B37384F1260}" presName="hierChild4" presStyleCnt="0"/>
      <dgm:spPr/>
    </dgm:pt>
    <dgm:pt modelId="{72FF905A-11BA-41AD-B5F5-3E7D0248EAC5}" type="pres">
      <dgm:prSet presAssocID="{2FFF8319-69F4-486B-882F-5B37384F1260}" presName="hierChild5" presStyleCnt="0"/>
      <dgm:spPr/>
    </dgm:pt>
    <dgm:pt modelId="{A87082C9-45F3-410C-83B8-8C1C4E93FA1C}" type="pres">
      <dgm:prSet presAssocID="{A716377B-5CE5-4BB0-887C-C66ADEDEFCD0}" presName="Name37" presStyleLbl="parChTrans1D3" presStyleIdx="10" presStyleCnt="11"/>
      <dgm:spPr/>
    </dgm:pt>
    <dgm:pt modelId="{5829CBEC-FF79-45A1-A645-BDDC9CDFC4C1}" type="pres">
      <dgm:prSet presAssocID="{5CAD7F8E-2D4B-494E-A9B3-8662F2F1C876}" presName="hierRoot2" presStyleCnt="0">
        <dgm:presLayoutVars>
          <dgm:hierBranch val="init"/>
        </dgm:presLayoutVars>
      </dgm:prSet>
      <dgm:spPr/>
    </dgm:pt>
    <dgm:pt modelId="{3385CAAA-3FDB-49A4-A502-B8C3537CDCA1}" type="pres">
      <dgm:prSet presAssocID="{5CAD7F8E-2D4B-494E-A9B3-8662F2F1C876}" presName="rootComposite" presStyleCnt="0"/>
      <dgm:spPr/>
    </dgm:pt>
    <dgm:pt modelId="{2841514A-A0DB-45C8-A350-781612C53CB7}" type="pres">
      <dgm:prSet presAssocID="{5CAD7F8E-2D4B-494E-A9B3-8662F2F1C876}" presName="rootText" presStyleLbl="node3" presStyleIdx="10" presStyleCnt="11" custScaleX="268674" custScaleY="134337">
        <dgm:presLayoutVars>
          <dgm:chPref val="3"/>
        </dgm:presLayoutVars>
      </dgm:prSet>
      <dgm:spPr>
        <a:xfrm>
          <a:off x="509100" y="2318416"/>
          <a:ext cx="1756739" cy="439184"/>
        </a:xfrm>
        <a:prstGeom prst="roundRect">
          <a:avLst/>
        </a:prstGeom>
      </dgm:spPr>
    </dgm:pt>
    <dgm:pt modelId="{669661FF-25DD-4243-AB62-68FDBEE0DB7C}" type="pres">
      <dgm:prSet presAssocID="{5CAD7F8E-2D4B-494E-A9B3-8662F2F1C876}" presName="rootConnector" presStyleLbl="node3" presStyleIdx="10" presStyleCnt="11"/>
      <dgm:spPr/>
    </dgm:pt>
    <dgm:pt modelId="{67183722-17A1-4727-AAA6-0A14AB58ED05}" type="pres">
      <dgm:prSet presAssocID="{5CAD7F8E-2D4B-494E-A9B3-8662F2F1C876}" presName="hierChild4" presStyleCnt="0"/>
      <dgm:spPr/>
    </dgm:pt>
    <dgm:pt modelId="{10FEBB28-75D6-4A28-A5E8-76720F8194DB}" type="pres">
      <dgm:prSet presAssocID="{5CAD7F8E-2D4B-494E-A9B3-8662F2F1C876}" presName="hierChild5" presStyleCnt="0"/>
      <dgm:spPr/>
    </dgm:pt>
    <dgm:pt modelId="{0BA468DC-1E4F-47B6-834D-E8FC08A235B4}" type="pres">
      <dgm:prSet presAssocID="{A5AE3037-5CDE-48B1-980D-BF755907F721}" presName="hierChild5" presStyleCnt="0"/>
      <dgm:spPr/>
    </dgm:pt>
    <dgm:pt modelId="{3ABEBA5C-E863-4AB9-8F74-BB798A86922E}" type="pres">
      <dgm:prSet presAssocID="{3D4AA21C-8618-4D88-ADD2-82497DC1C3C8}" presName="hierChild3" presStyleCnt="0"/>
      <dgm:spPr/>
    </dgm:pt>
  </dgm:ptLst>
  <dgm:cxnLst>
    <dgm:cxn modelId="{E2A22300-51D4-4748-B1EC-BC0EF75D964D}" type="presOf" srcId="{1768B429-B295-4E12-A4E5-2959760A26BB}" destId="{FE6A734C-CD98-41BA-B25A-1C4D4AE8317A}" srcOrd="0" destOrd="0" presId="urn:microsoft.com/office/officeart/2005/8/layout/orgChart1"/>
    <dgm:cxn modelId="{6ED3C603-97B0-4752-B216-DC9E87E399A5}" srcId="{1007B6F3-05BC-4F7A-8E1A-37C08373F646}" destId="{8B0EAEC7-B4D5-4CF1-85E4-FC7CBAB245A6}" srcOrd="1" destOrd="0" parTransId="{FA1804DE-9856-4A08-B6E3-E8E7C1EC73C0}" sibTransId="{00DA78FB-7979-4ADC-A1E7-89CD20DF37F4}"/>
    <dgm:cxn modelId="{83A3FB08-5E3D-4E89-A1E6-1DEBAFED87D0}" type="presOf" srcId="{A3C9C18B-9E10-4A65-87A8-C6D2F29C4622}" destId="{FD2BD50E-D384-49FE-BB00-71E6AEEEE500}" srcOrd="0" destOrd="0" presId="urn:microsoft.com/office/officeart/2005/8/layout/orgChart1"/>
    <dgm:cxn modelId="{A9E7FF0B-7CFF-4577-88C3-2DB7667E28DF}" type="presOf" srcId="{5CAD7F8E-2D4B-494E-A9B3-8662F2F1C876}" destId="{2841514A-A0DB-45C8-A350-781612C53CB7}" srcOrd="0" destOrd="0" presId="urn:microsoft.com/office/officeart/2005/8/layout/orgChart1"/>
    <dgm:cxn modelId="{23B7840D-85D9-4A10-B755-254106AB6619}" type="presOf" srcId="{A716377B-5CE5-4BB0-887C-C66ADEDEFCD0}" destId="{A87082C9-45F3-410C-83B8-8C1C4E93FA1C}" srcOrd="0" destOrd="0" presId="urn:microsoft.com/office/officeart/2005/8/layout/orgChart1"/>
    <dgm:cxn modelId="{14D2D50D-CEBF-4B8B-82A2-C3D2E709EA4F}" type="presOf" srcId="{3D4AA21C-8618-4D88-ADD2-82497DC1C3C8}" destId="{C9906B2A-6D0D-4B97-86E9-67AB72BB51C3}" srcOrd="0" destOrd="0" presId="urn:microsoft.com/office/officeart/2005/8/layout/orgChart1"/>
    <dgm:cxn modelId="{D07F5413-399B-4614-AC00-D306E9B648B1}" type="presOf" srcId="{882B9642-DB5D-4415-8141-174046543928}" destId="{DECA7EAF-1BEF-41A3-ABB3-5EAA3BAAF462}" srcOrd="1" destOrd="0" presId="urn:microsoft.com/office/officeart/2005/8/layout/orgChart1"/>
    <dgm:cxn modelId="{A537FB13-D523-4409-9B4D-BA4A52F4F728}" type="presOf" srcId="{5CAD7F8E-2D4B-494E-A9B3-8662F2F1C876}" destId="{669661FF-25DD-4243-AB62-68FDBEE0DB7C}" srcOrd="1" destOrd="0" presId="urn:microsoft.com/office/officeart/2005/8/layout/orgChart1"/>
    <dgm:cxn modelId="{35F45F17-9D26-4522-BCBD-CC73CC880901}" type="presOf" srcId="{CA170EC8-BD45-473C-9A48-D8E4B862E170}" destId="{0682577A-DD48-4F68-A560-24C92A32267A}" srcOrd="0" destOrd="0" presId="urn:microsoft.com/office/officeart/2005/8/layout/orgChart1"/>
    <dgm:cxn modelId="{421BFA18-DC97-4C46-B21A-BDDFBEEEE0BE}" type="presOf" srcId="{ED054F05-DECF-448A-832E-B98612B081A1}" destId="{93AA080D-57AE-4E81-958D-F9A1D38E6CF3}" srcOrd="1" destOrd="0" presId="urn:microsoft.com/office/officeart/2005/8/layout/orgChart1"/>
    <dgm:cxn modelId="{D70F4C1A-9A09-4490-9A1D-9B240FEADF12}" type="presOf" srcId="{7B0DE2BE-30B8-41A2-9742-9F7D501ABEE0}" destId="{3BF4E0A2-533F-46EF-B1EF-8466DEC47284}" srcOrd="0" destOrd="0" presId="urn:microsoft.com/office/officeart/2005/8/layout/orgChart1"/>
    <dgm:cxn modelId="{B5A6111B-4769-4370-ABA2-FFD75C5308DE}" type="presOf" srcId="{A5AE3037-5CDE-48B1-980D-BF755907F721}" destId="{42D1E0BE-354F-4E3C-8806-1977ECF66EA1}" srcOrd="0" destOrd="0" presId="urn:microsoft.com/office/officeart/2005/8/layout/orgChart1"/>
    <dgm:cxn modelId="{426D991C-BC7B-4286-A3EF-54B92D418A56}" srcId="{3D4AA21C-8618-4D88-ADD2-82497DC1C3C8}" destId="{ED054F05-DECF-448A-832E-B98612B081A1}" srcOrd="0" destOrd="0" parTransId="{759A86B6-2F79-4936-8581-07D0B45049CD}" sibTransId="{5E0090F4-BA9F-4822-A5B4-2C1E9396E774}"/>
    <dgm:cxn modelId="{66E6B61D-8C84-4B2B-80C5-CCCB1C697750}" type="presOf" srcId="{3DA5B83C-D6D6-4F7C-810E-D00E25F2DA99}" destId="{8E487ED1-854B-4A52-9737-AAF07A5B6561}" srcOrd="0" destOrd="0" presId="urn:microsoft.com/office/officeart/2005/8/layout/orgChart1"/>
    <dgm:cxn modelId="{15E85A1E-8FA1-47BC-BC40-B7560D508784}" type="presOf" srcId="{367DA472-A6B5-4A65-AA92-ABD67FD1CC00}" destId="{B509DCB6-92BF-408D-9332-348533AC8AE4}" srcOrd="0" destOrd="0" presId="urn:microsoft.com/office/officeart/2005/8/layout/orgChart1"/>
    <dgm:cxn modelId="{2A34B621-429B-41E7-8116-28E63095749A}" srcId="{A5AE3037-5CDE-48B1-980D-BF755907F721}" destId="{5CAD7F8E-2D4B-494E-A9B3-8662F2F1C876}" srcOrd="2" destOrd="0" parTransId="{A716377B-5CE5-4BB0-887C-C66ADEDEFCD0}" sibTransId="{393E730C-51B3-4EB3-A4BB-C31B5045F139}"/>
    <dgm:cxn modelId="{284BD021-915F-4017-8551-679AF32A18E6}" type="presOf" srcId="{F56A11B0-F829-4403-B03B-66574A081A1D}" destId="{6D82EA0F-014F-47C5-883A-DB387EA6CDAE}" srcOrd="0" destOrd="0" presId="urn:microsoft.com/office/officeart/2005/8/layout/orgChart1"/>
    <dgm:cxn modelId="{9B2D7A24-DB78-4C8D-88B7-D2C0CE2B8877}" srcId="{F69D1FAD-E8C8-4443-9C53-33D08E3DE8CE}" destId="{BAD477F3-63B5-42EE-B3B5-05689244E517}" srcOrd="1" destOrd="0" parTransId="{A3C9C18B-9E10-4A65-87A8-C6D2F29C4622}" sibTransId="{81F2F3B1-1E4B-4A1D-937B-28A35B243ECF}"/>
    <dgm:cxn modelId="{BEF96128-9067-4608-9FCB-7C89D08CC997}" type="presOf" srcId="{3D4AA21C-8618-4D88-ADD2-82497DC1C3C8}" destId="{02ACD5D0-6C9D-484A-BD23-29ABC006DAEA}" srcOrd="1" destOrd="0" presId="urn:microsoft.com/office/officeart/2005/8/layout/orgChart1"/>
    <dgm:cxn modelId="{3F263A2E-B4A5-4B07-AC88-63AD894F8AC1}" type="presOf" srcId="{8B0EAEC7-B4D5-4CF1-85E4-FC7CBAB245A6}" destId="{135572E7-D0A9-47F1-B57C-3842E7D4BA7A}" srcOrd="1" destOrd="0" presId="urn:microsoft.com/office/officeart/2005/8/layout/orgChart1"/>
    <dgm:cxn modelId="{FF9F2430-0C67-4ADE-9E8F-E9275D2B6174}" type="presOf" srcId="{0202D3B0-F039-4A45-9B54-52DE61CC6EBF}" destId="{0E67771F-D6B3-42E0-A4EC-8EA8EA99163C}" srcOrd="0" destOrd="0" presId="urn:microsoft.com/office/officeart/2005/8/layout/orgChart1"/>
    <dgm:cxn modelId="{297CC930-6319-45F8-A1FF-904E99A0DF68}" type="presOf" srcId="{FA1804DE-9856-4A08-B6E3-E8E7C1EC73C0}" destId="{D978C072-8E92-43C4-91B3-F3E661B7ABAC}" srcOrd="0" destOrd="0" presId="urn:microsoft.com/office/officeart/2005/8/layout/orgChart1"/>
    <dgm:cxn modelId="{0C56E134-574E-419C-9717-2D646E7242CD}" type="presOf" srcId="{0202D3B0-F039-4A45-9B54-52DE61CC6EBF}" destId="{56227AB4-9AF1-4700-B97A-335834EB032E}" srcOrd="1" destOrd="0" presId="urn:microsoft.com/office/officeart/2005/8/layout/orgChart1"/>
    <dgm:cxn modelId="{BE50583C-81E1-4C05-AAA0-B92E08BB9CF0}" type="presOf" srcId="{ED054F05-DECF-448A-832E-B98612B081A1}" destId="{0A209B85-31FA-4E41-BE45-2EB0F430555C}" srcOrd="0" destOrd="0" presId="urn:microsoft.com/office/officeart/2005/8/layout/orgChart1"/>
    <dgm:cxn modelId="{D25CFF60-1568-41FC-8C9A-FA8415937D42}" type="presOf" srcId="{E2EA3DBF-0B05-4BE9-80CF-CD8065633172}" destId="{98DD77B9-6508-4827-9493-60FB472DE478}" srcOrd="0" destOrd="0" presId="urn:microsoft.com/office/officeart/2005/8/layout/orgChart1"/>
    <dgm:cxn modelId="{02F46142-0493-45F1-9952-BD37C217E9E8}" type="presOf" srcId="{66822BD2-E0EA-4B23-8515-68CA5DAF36F2}" destId="{340D405E-7980-48FF-92E8-4B1BA0904690}" srcOrd="0" destOrd="0" presId="urn:microsoft.com/office/officeart/2005/8/layout/orgChart1"/>
    <dgm:cxn modelId="{CFCB7A42-AF82-45F9-9001-D0C2BA0C1D68}" srcId="{F69D1FAD-E8C8-4443-9C53-33D08E3DE8CE}" destId="{367DA472-A6B5-4A65-AA92-ABD67FD1CC00}" srcOrd="2" destOrd="0" parTransId="{9190B60C-4242-4AB8-BE76-B364159818C9}" sibTransId="{15DB7952-266A-46BB-A9FF-6186DD342E36}"/>
    <dgm:cxn modelId="{97DBC743-4D9E-4866-B49E-48A167600CEA}" type="presOf" srcId="{F56A11B0-F829-4403-B03B-66574A081A1D}" destId="{F512030C-FBC5-4D3B-A89E-F874314E7A02}" srcOrd="1" destOrd="0" presId="urn:microsoft.com/office/officeart/2005/8/layout/orgChart1"/>
    <dgm:cxn modelId="{33A4DF47-7C5D-416C-8007-379C4FC3958F}" type="presOf" srcId="{DC323120-D202-4A8E-953D-322761F16AE2}" destId="{F92DD1E1-B9A1-46FB-97E4-955B61300390}" srcOrd="0" destOrd="0" presId="urn:microsoft.com/office/officeart/2005/8/layout/orgChart1"/>
    <dgm:cxn modelId="{9462EE48-C752-4738-8121-7C5F5D8E3EA9}" srcId="{1007B6F3-05BC-4F7A-8E1A-37C08373F646}" destId="{0202D3B0-F039-4A45-9B54-52DE61CC6EBF}" srcOrd="2" destOrd="0" parTransId="{3DA5B83C-D6D6-4F7C-810E-D00E25F2DA99}" sibTransId="{B9F88689-25EB-4604-9BE4-089FAC838E94}"/>
    <dgm:cxn modelId="{FA94B669-A722-4063-9035-ACAED082E0BD}" type="presOf" srcId="{BAD477F3-63B5-42EE-B3B5-05689244E517}" destId="{1BB92FE5-CE5A-41FE-B673-C4A4F62BF5AB}" srcOrd="0" destOrd="0" presId="urn:microsoft.com/office/officeart/2005/8/layout/orgChart1"/>
    <dgm:cxn modelId="{DED54B6A-77CA-4AC4-8214-FD5E24419B26}" type="presOf" srcId="{1007B6F3-05BC-4F7A-8E1A-37C08373F646}" destId="{B971E225-D9F5-478B-8A95-DB5AA24C6662}" srcOrd="1" destOrd="0" presId="urn:microsoft.com/office/officeart/2005/8/layout/orgChart1"/>
    <dgm:cxn modelId="{A980834C-F00A-46F3-95F5-5B16870B4EF7}" type="presOf" srcId="{2FFF8319-69F4-486B-882F-5B37384F1260}" destId="{D53A79D7-A77E-459E-B55D-EB99EE7432DA}" srcOrd="1" destOrd="0" presId="urn:microsoft.com/office/officeart/2005/8/layout/orgChart1"/>
    <dgm:cxn modelId="{83427B70-B256-492E-B731-40A921228F3F}" type="presOf" srcId="{3EE6172B-B803-440C-92DD-765D3BC6ACDB}" destId="{24BF0753-546B-46C2-86A1-B85748862C03}" srcOrd="0" destOrd="0" presId="urn:microsoft.com/office/officeart/2005/8/layout/orgChart1"/>
    <dgm:cxn modelId="{348ADE71-4DE7-4FC4-8AD4-2C3B295510A4}" srcId="{A5AE3037-5CDE-48B1-980D-BF755907F721}" destId="{F56A11B0-F829-4403-B03B-66574A081A1D}" srcOrd="0" destOrd="0" parTransId="{3EE6172B-B803-440C-92DD-765D3BC6ACDB}" sibTransId="{1795EB77-CC6C-4AC9-AEB9-E8649F4A642D}"/>
    <dgm:cxn modelId="{0D9DBC52-648E-4105-8511-7DC595842B7F}" type="presOf" srcId="{9190B60C-4242-4AB8-BE76-B364159818C9}" destId="{FEA01142-F62E-4F09-955A-6EF0C7069331}" srcOrd="0" destOrd="0" presId="urn:microsoft.com/office/officeart/2005/8/layout/orgChart1"/>
    <dgm:cxn modelId="{5E97D352-E701-45B2-AC47-7FC0773CA41F}" srcId="{F69D1FAD-E8C8-4443-9C53-33D08E3DE8CE}" destId="{4B850433-3650-48AA-859B-F06BE9D5D2A1}" srcOrd="0" destOrd="0" parTransId="{7B0DE2BE-30B8-41A2-9742-9F7D501ABEE0}" sibTransId="{10704553-64AA-4B37-B0EC-C2F455ECB4C5}"/>
    <dgm:cxn modelId="{81823D53-BAD3-46E5-9606-DA5C4E4532A4}" type="presOf" srcId="{E0E28DCF-A5AB-4C9B-8D6E-5C57C3D6B80D}" destId="{07890C3C-0C34-43C6-B53A-43502EC7872E}" srcOrd="0" destOrd="0" presId="urn:microsoft.com/office/officeart/2005/8/layout/orgChart1"/>
    <dgm:cxn modelId="{AEFD9E74-C925-4BE0-B704-EE3FDBB0B39D}" type="presOf" srcId="{367DA472-A6B5-4A65-AA92-ABD67FD1CC00}" destId="{260E8905-E423-4F36-BAD2-9471CD368CFA}" srcOrd="1" destOrd="0" presId="urn:microsoft.com/office/officeart/2005/8/layout/orgChart1"/>
    <dgm:cxn modelId="{26035A75-A7B8-481A-9B7C-A1DD774E82AB}" srcId="{1007B6F3-05BC-4F7A-8E1A-37C08373F646}" destId="{882B9642-DB5D-4415-8141-174046543928}" srcOrd="0" destOrd="0" parTransId="{1768B429-B295-4E12-A4E5-2959760A26BB}" sibTransId="{CEF1BA8D-8962-4916-A848-7A69DE1F430D}"/>
    <dgm:cxn modelId="{9F9FFF7B-51EB-40B5-BC69-4AE98964B0EE}" type="presOf" srcId="{A5AE3037-5CDE-48B1-980D-BF755907F721}" destId="{6280D6AE-52C6-48FA-A310-9B841171A626}" srcOrd="1" destOrd="0" presId="urn:microsoft.com/office/officeart/2005/8/layout/orgChart1"/>
    <dgm:cxn modelId="{5CE87C7C-FA23-40DE-9A60-FD475337CE71}" type="presOf" srcId="{882B9642-DB5D-4415-8141-174046543928}" destId="{6A43EABD-03AA-415F-BE3A-2DD31AB048C5}" srcOrd="0" destOrd="0" presId="urn:microsoft.com/office/officeart/2005/8/layout/orgChart1"/>
    <dgm:cxn modelId="{FCB5A58B-E24A-469E-A23E-5C47ED6D1DBE}" srcId="{ED054F05-DECF-448A-832E-B98612B081A1}" destId="{66822BD2-E0EA-4B23-8515-68CA5DAF36F2}" srcOrd="1" destOrd="0" parTransId="{CA170EC8-BD45-473C-9A48-D8E4B862E170}" sibTransId="{9E76F400-F081-40C5-B061-15C7F717FAD8}"/>
    <dgm:cxn modelId="{9301D38E-A2BF-4939-A948-73310D44CB13}" type="presOf" srcId="{66822BD2-E0EA-4B23-8515-68CA5DAF36F2}" destId="{8CF0BE38-64A4-48F7-91EA-1C5DF9DE28BA}" srcOrd="1" destOrd="0" presId="urn:microsoft.com/office/officeart/2005/8/layout/orgChart1"/>
    <dgm:cxn modelId="{35DC9F95-FEF0-4B2F-890C-452C6C30047E}" type="presOf" srcId="{1007B6F3-05BC-4F7A-8E1A-37C08373F646}" destId="{1BE2E877-A98C-4F5E-B162-7E381A985946}" srcOrd="0" destOrd="0" presId="urn:microsoft.com/office/officeart/2005/8/layout/orgChart1"/>
    <dgm:cxn modelId="{FE8C42A3-78B0-43CC-B145-923B65917388}" type="presOf" srcId="{2FFF8319-69F4-486B-882F-5B37384F1260}" destId="{16466F66-21BE-440C-AFE1-27401EFCD165}" srcOrd="0" destOrd="0" presId="urn:microsoft.com/office/officeart/2005/8/layout/orgChart1"/>
    <dgm:cxn modelId="{6D2465A6-DD69-43E7-87F6-E081FEC199DC}" type="presOf" srcId="{728EF172-F1A2-4630-ACBD-09151A8D42E0}" destId="{25CBE439-FF8E-48F7-B5EE-F025139ED159}" srcOrd="0" destOrd="0" presId="urn:microsoft.com/office/officeart/2005/8/layout/orgChart1"/>
    <dgm:cxn modelId="{E63535A7-EE7E-4366-ACCC-4E4ECDDC6182}" type="presOf" srcId="{4B850433-3650-48AA-859B-F06BE9D5D2A1}" destId="{C24ACD5D-4A90-452B-B807-DD2ACB3F82D7}" srcOrd="1" destOrd="0" presId="urn:microsoft.com/office/officeart/2005/8/layout/orgChart1"/>
    <dgm:cxn modelId="{E25ECBA9-12A1-48F9-90C4-39AA808465F1}" type="presOf" srcId="{474A8C66-2F0D-4397-874A-DDCABFDC54EB}" destId="{0D136685-5600-4E30-BED0-84E704D24193}" srcOrd="0" destOrd="0" presId="urn:microsoft.com/office/officeart/2005/8/layout/orgChart1"/>
    <dgm:cxn modelId="{4A9D80B2-A778-4F3C-BF32-893B6F3B935A}" srcId="{A5AE3037-5CDE-48B1-980D-BF755907F721}" destId="{2FFF8319-69F4-486B-882F-5B37384F1260}" srcOrd="1" destOrd="0" parTransId="{4ECF0464-F6E6-4CE3-8866-0ED853614CC9}" sibTransId="{9D29A0EC-B56A-4231-9A14-54A739D4E7C0}"/>
    <dgm:cxn modelId="{611752B4-F0AE-42F6-9EA2-895BD5FDE3F0}" type="presOf" srcId="{4ECF0464-F6E6-4CE3-8866-0ED853614CC9}" destId="{E3C07E89-C63D-4449-9138-B5EE3042C7A8}" srcOrd="0" destOrd="0" presId="urn:microsoft.com/office/officeart/2005/8/layout/orgChart1"/>
    <dgm:cxn modelId="{E12D52B8-7AF8-41E4-8169-4569F54348E5}" srcId="{3D4AA21C-8618-4D88-ADD2-82497DC1C3C8}" destId="{A5AE3037-5CDE-48B1-980D-BF755907F721}" srcOrd="3" destOrd="0" parTransId="{E2EA3DBF-0B05-4BE9-80CF-CD8065633172}" sibTransId="{4B6C03A1-DC02-49AD-83B0-4E4E3C4E4627}"/>
    <dgm:cxn modelId="{F56F7FBB-D02E-4B82-A727-8F1A3DE0EADA}" srcId="{3D4AA21C-8618-4D88-ADD2-82497DC1C3C8}" destId="{F69D1FAD-E8C8-4443-9C53-33D08E3DE8CE}" srcOrd="1" destOrd="0" parTransId="{474A8C66-2F0D-4397-874A-DDCABFDC54EB}" sibTransId="{F2361F06-5F23-4E4E-93B2-3A55630A94F3}"/>
    <dgm:cxn modelId="{F00F7BC7-992C-48FC-AB76-AA651F146EB6}" type="presOf" srcId="{F69D1FAD-E8C8-4443-9C53-33D08E3DE8CE}" destId="{F929D97E-86BE-4488-B496-35906E1F9CAE}" srcOrd="0" destOrd="0" presId="urn:microsoft.com/office/officeart/2005/8/layout/orgChart1"/>
    <dgm:cxn modelId="{F3E308E2-46F3-4F62-A29F-AE4FD726B0BD}" type="presOf" srcId="{4B850433-3650-48AA-859B-F06BE9D5D2A1}" destId="{A53EE3FD-0868-455B-8BBA-76212B84AD2F}" srcOrd="0" destOrd="0" presId="urn:microsoft.com/office/officeart/2005/8/layout/orgChart1"/>
    <dgm:cxn modelId="{289AE0E4-D958-446F-AEEF-0A2A3006E48A}" type="presOf" srcId="{F69D1FAD-E8C8-4443-9C53-33D08E3DE8CE}" destId="{B955BC7D-DAC9-4057-99DB-72B0147F93F2}" srcOrd="1" destOrd="0" presId="urn:microsoft.com/office/officeart/2005/8/layout/orgChart1"/>
    <dgm:cxn modelId="{46DFFAE5-E9B3-442D-8886-0EC664DB1920}" type="presOf" srcId="{CA0C4A7D-87B4-42FC-B473-86E796E6DB38}" destId="{AE5E83A7-0964-4C8F-AE38-A162F9EC1141}" srcOrd="0" destOrd="0" presId="urn:microsoft.com/office/officeart/2005/8/layout/orgChart1"/>
    <dgm:cxn modelId="{DDD991E8-0698-44E8-A37F-6B5F05ED00D4}" srcId="{ED054F05-DECF-448A-832E-B98612B081A1}" destId="{728EF172-F1A2-4630-ACBD-09151A8D42E0}" srcOrd="0" destOrd="0" parTransId="{E0E28DCF-A5AB-4C9B-8D6E-5C57C3D6B80D}" sibTransId="{06896C4B-0AE3-4711-993A-9BB0A56EB6F2}"/>
    <dgm:cxn modelId="{E36013EA-09C0-49C1-8A23-0972C103C6BA}" srcId="{3D4AA21C-8618-4D88-ADD2-82497DC1C3C8}" destId="{1007B6F3-05BC-4F7A-8E1A-37C08373F646}" srcOrd="2" destOrd="0" parTransId="{DC323120-D202-4A8E-953D-322761F16AE2}" sibTransId="{228E9085-F602-4C47-9F8C-5187B1EC5A82}"/>
    <dgm:cxn modelId="{403098EF-AE23-4AB5-A685-740CEE4495F3}" type="presOf" srcId="{728EF172-F1A2-4630-ACBD-09151A8D42E0}" destId="{EA9065D7-9704-4C0A-8D0D-77EE2F0AF926}" srcOrd="1" destOrd="0" presId="urn:microsoft.com/office/officeart/2005/8/layout/orgChart1"/>
    <dgm:cxn modelId="{16DB12F0-F423-4A98-A312-2F49FF56298A}" type="presOf" srcId="{BAD477F3-63B5-42EE-B3B5-05689244E517}" destId="{C55C49B2-409B-4525-9D61-0D463E355467}" srcOrd="1" destOrd="0" presId="urn:microsoft.com/office/officeart/2005/8/layout/orgChart1"/>
    <dgm:cxn modelId="{AB896EF5-ADE7-4CF5-A7CF-4E18E4677510}" type="presOf" srcId="{8B0EAEC7-B4D5-4CF1-85E4-FC7CBAB245A6}" destId="{19B89C79-DE41-4F48-9743-7325556D13A7}" srcOrd="0" destOrd="0" presId="urn:microsoft.com/office/officeart/2005/8/layout/orgChart1"/>
    <dgm:cxn modelId="{F49C61F9-6346-4223-916A-0CDD3FF00F58}" srcId="{CA0C4A7D-87B4-42FC-B473-86E796E6DB38}" destId="{3D4AA21C-8618-4D88-ADD2-82497DC1C3C8}" srcOrd="0" destOrd="0" parTransId="{55DD5BB0-27D4-4C12-9A68-2D22B56B3DB9}" sibTransId="{BA36D946-1E1C-4B8A-8920-C56DB42187D5}"/>
    <dgm:cxn modelId="{F9696CFC-D321-4964-A236-CCA4AEE08E2B}" type="presOf" srcId="{759A86B6-2F79-4936-8581-07D0B45049CD}" destId="{93F63975-AD3A-48CE-8A6A-39CA9BB236AA}" srcOrd="0" destOrd="0" presId="urn:microsoft.com/office/officeart/2005/8/layout/orgChart1"/>
    <dgm:cxn modelId="{D53D4F24-08B0-4DD6-A23C-A43B8C25BC9F}" type="presParOf" srcId="{AE5E83A7-0964-4C8F-AE38-A162F9EC1141}" destId="{03C0F827-EF46-4C6A-8A7B-173F39D63C47}" srcOrd="0" destOrd="0" presId="urn:microsoft.com/office/officeart/2005/8/layout/orgChart1"/>
    <dgm:cxn modelId="{86F491C6-4CA0-49E6-B9D4-3B1D14144FCE}" type="presParOf" srcId="{03C0F827-EF46-4C6A-8A7B-173F39D63C47}" destId="{C17EA8BB-09B7-4C3C-8988-EB642C1DB8DA}" srcOrd="0" destOrd="0" presId="urn:microsoft.com/office/officeart/2005/8/layout/orgChart1"/>
    <dgm:cxn modelId="{7E5B549B-4418-4B8C-B706-4C98E2557329}" type="presParOf" srcId="{C17EA8BB-09B7-4C3C-8988-EB642C1DB8DA}" destId="{C9906B2A-6D0D-4B97-86E9-67AB72BB51C3}" srcOrd="0" destOrd="0" presId="urn:microsoft.com/office/officeart/2005/8/layout/orgChart1"/>
    <dgm:cxn modelId="{3CA75144-B2A2-4457-B0A4-DA237B880A6C}" type="presParOf" srcId="{C17EA8BB-09B7-4C3C-8988-EB642C1DB8DA}" destId="{02ACD5D0-6C9D-484A-BD23-29ABC006DAEA}" srcOrd="1" destOrd="0" presId="urn:microsoft.com/office/officeart/2005/8/layout/orgChart1"/>
    <dgm:cxn modelId="{1E5C43A1-84F6-4B2C-910E-E4A39DB64BAC}" type="presParOf" srcId="{03C0F827-EF46-4C6A-8A7B-173F39D63C47}" destId="{FF8BCAD5-BE9A-4430-BBC0-D43BA79507C0}" srcOrd="1" destOrd="0" presId="urn:microsoft.com/office/officeart/2005/8/layout/orgChart1"/>
    <dgm:cxn modelId="{1315364A-39D1-42A7-AC79-AFB50B3998B4}" type="presParOf" srcId="{FF8BCAD5-BE9A-4430-BBC0-D43BA79507C0}" destId="{93F63975-AD3A-48CE-8A6A-39CA9BB236AA}" srcOrd="0" destOrd="0" presId="urn:microsoft.com/office/officeart/2005/8/layout/orgChart1"/>
    <dgm:cxn modelId="{767EB7EA-947A-4D04-9BE5-D205F9637981}" type="presParOf" srcId="{FF8BCAD5-BE9A-4430-BBC0-D43BA79507C0}" destId="{49325649-D094-4BD1-A2F7-B0C137CD3783}" srcOrd="1" destOrd="0" presId="urn:microsoft.com/office/officeart/2005/8/layout/orgChart1"/>
    <dgm:cxn modelId="{5E79B57E-934F-4942-B33A-905D12BFF38D}" type="presParOf" srcId="{49325649-D094-4BD1-A2F7-B0C137CD3783}" destId="{70789CCD-8B0C-49CD-B4B8-0C065B45323F}" srcOrd="0" destOrd="0" presId="urn:microsoft.com/office/officeart/2005/8/layout/orgChart1"/>
    <dgm:cxn modelId="{501A1E0E-A6C1-42FC-9337-59CC71B7A550}" type="presParOf" srcId="{70789CCD-8B0C-49CD-B4B8-0C065B45323F}" destId="{0A209B85-31FA-4E41-BE45-2EB0F430555C}" srcOrd="0" destOrd="0" presId="urn:microsoft.com/office/officeart/2005/8/layout/orgChart1"/>
    <dgm:cxn modelId="{0948A899-B6B2-406C-905B-E4664DA137C1}" type="presParOf" srcId="{70789CCD-8B0C-49CD-B4B8-0C065B45323F}" destId="{93AA080D-57AE-4E81-958D-F9A1D38E6CF3}" srcOrd="1" destOrd="0" presId="urn:microsoft.com/office/officeart/2005/8/layout/orgChart1"/>
    <dgm:cxn modelId="{E1889A87-9226-4BB9-9F69-B90804D8D41D}" type="presParOf" srcId="{49325649-D094-4BD1-A2F7-B0C137CD3783}" destId="{5B8EF062-37A5-49E6-A886-57B55A36AD80}" srcOrd="1" destOrd="0" presId="urn:microsoft.com/office/officeart/2005/8/layout/orgChart1"/>
    <dgm:cxn modelId="{A2DF9502-BAE2-49A0-B2D9-8F3362C29527}" type="presParOf" srcId="{5B8EF062-37A5-49E6-A886-57B55A36AD80}" destId="{07890C3C-0C34-43C6-B53A-43502EC7872E}" srcOrd="0" destOrd="0" presId="urn:microsoft.com/office/officeart/2005/8/layout/orgChart1"/>
    <dgm:cxn modelId="{7D32DB02-E9EE-47A4-8278-7B82822E864B}" type="presParOf" srcId="{5B8EF062-37A5-49E6-A886-57B55A36AD80}" destId="{E81F8071-148A-4763-8EFF-7359EBC8DE40}" srcOrd="1" destOrd="0" presId="urn:microsoft.com/office/officeart/2005/8/layout/orgChart1"/>
    <dgm:cxn modelId="{565870FA-39F6-43FE-8C6D-53B458AC75D9}" type="presParOf" srcId="{E81F8071-148A-4763-8EFF-7359EBC8DE40}" destId="{FDD95A59-FDE0-4E38-BD3F-1AEE9AAEC663}" srcOrd="0" destOrd="0" presId="urn:microsoft.com/office/officeart/2005/8/layout/orgChart1"/>
    <dgm:cxn modelId="{AB17C86B-C10B-49B7-86E7-74A39F9E18D9}" type="presParOf" srcId="{FDD95A59-FDE0-4E38-BD3F-1AEE9AAEC663}" destId="{25CBE439-FF8E-48F7-B5EE-F025139ED159}" srcOrd="0" destOrd="0" presId="urn:microsoft.com/office/officeart/2005/8/layout/orgChart1"/>
    <dgm:cxn modelId="{91D57D66-E108-4312-8AFB-4122FD952634}" type="presParOf" srcId="{FDD95A59-FDE0-4E38-BD3F-1AEE9AAEC663}" destId="{EA9065D7-9704-4C0A-8D0D-77EE2F0AF926}" srcOrd="1" destOrd="0" presId="urn:microsoft.com/office/officeart/2005/8/layout/orgChart1"/>
    <dgm:cxn modelId="{7898F57F-206A-4D66-9885-B87FA50EF500}" type="presParOf" srcId="{E81F8071-148A-4763-8EFF-7359EBC8DE40}" destId="{D70D0C17-EA0F-4EA2-88B8-05912BDCDDF2}" srcOrd="1" destOrd="0" presId="urn:microsoft.com/office/officeart/2005/8/layout/orgChart1"/>
    <dgm:cxn modelId="{DAE88D36-6D03-4F87-820E-C4EE23798FC6}" type="presParOf" srcId="{E81F8071-148A-4763-8EFF-7359EBC8DE40}" destId="{7580CB60-37C3-4922-B670-CB79D70669CB}" srcOrd="2" destOrd="0" presId="urn:microsoft.com/office/officeart/2005/8/layout/orgChart1"/>
    <dgm:cxn modelId="{0F725DF6-A6F4-4912-9CED-E1472A48A246}" type="presParOf" srcId="{5B8EF062-37A5-49E6-A886-57B55A36AD80}" destId="{0682577A-DD48-4F68-A560-24C92A32267A}" srcOrd="2" destOrd="0" presId="urn:microsoft.com/office/officeart/2005/8/layout/orgChart1"/>
    <dgm:cxn modelId="{4B84EDCA-4DC7-4FA0-997D-3855943455F8}" type="presParOf" srcId="{5B8EF062-37A5-49E6-A886-57B55A36AD80}" destId="{F807C59A-718A-4B6B-95A4-4DE71D9B58EF}" srcOrd="3" destOrd="0" presId="urn:microsoft.com/office/officeart/2005/8/layout/orgChart1"/>
    <dgm:cxn modelId="{17FCADF8-6A5A-4856-A4C1-B21BB1FE3F8A}" type="presParOf" srcId="{F807C59A-718A-4B6B-95A4-4DE71D9B58EF}" destId="{CCA4A9ED-1E46-487D-A4EC-7A1E9512863F}" srcOrd="0" destOrd="0" presId="urn:microsoft.com/office/officeart/2005/8/layout/orgChart1"/>
    <dgm:cxn modelId="{974F19B3-6D6E-496A-9BA7-F11B1D7BFF2B}" type="presParOf" srcId="{CCA4A9ED-1E46-487D-A4EC-7A1E9512863F}" destId="{340D405E-7980-48FF-92E8-4B1BA0904690}" srcOrd="0" destOrd="0" presId="urn:microsoft.com/office/officeart/2005/8/layout/orgChart1"/>
    <dgm:cxn modelId="{CB0717AE-60C4-4934-BFED-E41F91EB8E06}" type="presParOf" srcId="{CCA4A9ED-1E46-487D-A4EC-7A1E9512863F}" destId="{8CF0BE38-64A4-48F7-91EA-1C5DF9DE28BA}" srcOrd="1" destOrd="0" presId="urn:microsoft.com/office/officeart/2005/8/layout/orgChart1"/>
    <dgm:cxn modelId="{2DAF08CB-1857-43C4-A45C-A160C53AD7F6}" type="presParOf" srcId="{F807C59A-718A-4B6B-95A4-4DE71D9B58EF}" destId="{29A25B00-B975-4C02-86E5-474E22CEC8B6}" srcOrd="1" destOrd="0" presId="urn:microsoft.com/office/officeart/2005/8/layout/orgChart1"/>
    <dgm:cxn modelId="{5DB0B2B3-3358-432B-9BCF-C26CE59143A5}" type="presParOf" srcId="{F807C59A-718A-4B6B-95A4-4DE71D9B58EF}" destId="{61E0D8D8-696B-4694-AB78-FAF9F716517A}" srcOrd="2" destOrd="0" presId="urn:microsoft.com/office/officeart/2005/8/layout/orgChart1"/>
    <dgm:cxn modelId="{22CFCAE1-9CB4-4F60-A4BB-C75F48881B23}" type="presParOf" srcId="{49325649-D094-4BD1-A2F7-B0C137CD3783}" destId="{91D2895F-3E53-4BC7-9AB0-1076D1CBD59C}" srcOrd="2" destOrd="0" presId="urn:microsoft.com/office/officeart/2005/8/layout/orgChart1"/>
    <dgm:cxn modelId="{4F3915F2-CCCF-44D3-95E5-70E690017E34}" type="presParOf" srcId="{FF8BCAD5-BE9A-4430-BBC0-D43BA79507C0}" destId="{0D136685-5600-4E30-BED0-84E704D24193}" srcOrd="2" destOrd="0" presId="urn:microsoft.com/office/officeart/2005/8/layout/orgChart1"/>
    <dgm:cxn modelId="{B267BEBD-815B-4BD3-814C-90E0BA76C41F}" type="presParOf" srcId="{FF8BCAD5-BE9A-4430-BBC0-D43BA79507C0}" destId="{646878FC-A1C4-4169-97C2-0F25682FDB8A}" srcOrd="3" destOrd="0" presId="urn:microsoft.com/office/officeart/2005/8/layout/orgChart1"/>
    <dgm:cxn modelId="{4A0927D3-462C-4C8D-8850-02F78C5E2D62}" type="presParOf" srcId="{646878FC-A1C4-4169-97C2-0F25682FDB8A}" destId="{B1B56372-9E70-4A18-ABC7-31AC6F3A3149}" srcOrd="0" destOrd="0" presId="urn:microsoft.com/office/officeart/2005/8/layout/orgChart1"/>
    <dgm:cxn modelId="{E7C55526-C080-487A-89E5-4380FA4E20DF}" type="presParOf" srcId="{B1B56372-9E70-4A18-ABC7-31AC6F3A3149}" destId="{F929D97E-86BE-4488-B496-35906E1F9CAE}" srcOrd="0" destOrd="0" presId="urn:microsoft.com/office/officeart/2005/8/layout/orgChart1"/>
    <dgm:cxn modelId="{3FE890B9-F2DC-4D04-BBA1-E2D5AFE48D38}" type="presParOf" srcId="{B1B56372-9E70-4A18-ABC7-31AC6F3A3149}" destId="{B955BC7D-DAC9-4057-99DB-72B0147F93F2}" srcOrd="1" destOrd="0" presId="urn:microsoft.com/office/officeart/2005/8/layout/orgChart1"/>
    <dgm:cxn modelId="{5067D262-A594-4767-81AE-EA7ACE7C0D1C}" type="presParOf" srcId="{646878FC-A1C4-4169-97C2-0F25682FDB8A}" destId="{44A9F1B2-39FB-45A3-AB69-4CDFB5D6C1C0}" srcOrd="1" destOrd="0" presId="urn:microsoft.com/office/officeart/2005/8/layout/orgChart1"/>
    <dgm:cxn modelId="{AE42718D-4980-4757-BB72-3A678846C133}" type="presParOf" srcId="{44A9F1B2-39FB-45A3-AB69-4CDFB5D6C1C0}" destId="{3BF4E0A2-533F-46EF-B1EF-8466DEC47284}" srcOrd="0" destOrd="0" presId="urn:microsoft.com/office/officeart/2005/8/layout/orgChart1"/>
    <dgm:cxn modelId="{C5D6A0C2-B8A5-44C3-A088-A4C4CC290BCE}" type="presParOf" srcId="{44A9F1B2-39FB-45A3-AB69-4CDFB5D6C1C0}" destId="{DC2ABF01-CA2C-4A00-AEB8-54EB3DDBCB56}" srcOrd="1" destOrd="0" presId="urn:microsoft.com/office/officeart/2005/8/layout/orgChart1"/>
    <dgm:cxn modelId="{33B9F56F-F1C5-4EB4-B09F-52F64BBC04FE}" type="presParOf" srcId="{DC2ABF01-CA2C-4A00-AEB8-54EB3DDBCB56}" destId="{4DB6B53A-C791-4485-8973-ADD55BCD34BF}" srcOrd="0" destOrd="0" presId="urn:microsoft.com/office/officeart/2005/8/layout/orgChart1"/>
    <dgm:cxn modelId="{9D310AAF-0647-4F68-8414-13063F81D8FB}" type="presParOf" srcId="{4DB6B53A-C791-4485-8973-ADD55BCD34BF}" destId="{A53EE3FD-0868-455B-8BBA-76212B84AD2F}" srcOrd="0" destOrd="0" presId="urn:microsoft.com/office/officeart/2005/8/layout/orgChart1"/>
    <dgm:cxn modelId="{D441456A-7CF5-4F91-AB28-842202D12A39}" type="presParOf" srcId="{4DB6B53A-C791-4485-8973-ADD55BCD34BF}" destId="{C24ACD5D-4A90-452B-B807-DD2ACB3F82D7}" srcOrd="1" destOrd="0" presId="urn:microsoft.com/office/officeart/2005/8/layout/orgChart1"/>
    <dgm:cxn modelId="{63E31208-CF8E-41F9-91CF-83C8FB5B107C}" type="presParOf" srcId="{DC2ABF01-CA2C-4A00-AEB8-54EB3DDBCB56}" destId="{E04CFBD4-1794-4811-9482-8593FC119F23}" srcOrd="1" destOrd="0" presId="urn:microsoft.com/office/officeart/2005/8/layout/orgChart1"/>
    <dgm:cxn modelId="{1FF7E47C-0A51-47CF-8343-59EAB98D0904}" type="presParOf" srcId="{DC2ABF01-CA2C-4A00-AEB8-54EB3DDBCB56}" destId="{78B4F3FE-F575-4231-B68B-11F8300430B1}" srcOrd="2" destOrd="0" presId="urn:microsoft.com/office/officeart/2005/8/layout/orgChart1"/>
    <dgm:cxn modelId="{692B685B-C301-4C4B-AF62-D72B72D824E6}" type="presParOf" srcId="{44A9F1B2-39FB-45A3-AB69-4CDFB5D6C1C0}" destId="{FD2BD50E-D384-49FE-BB00-71E6AEEEE500}" srcOrd="2" destOrd="0" presId="urn:microsoft.com/office/officeart/2005/8/layout/orgChart1"/>
    <dgm:cxn modelId="{935ABF2D-ADF4-432D-A546-8F419C7B44AF}" type="presParOf" srcId="{44A9F1B2-39FB-45A3-AB69-4CDFB5D6C1C0}" destId="{C2D4CFC6-EDEA-4994-85C4-82C320A7C677}" srcOrd="3" destOrd="0" presId="urn:microsoft.com/office/officeart/2005/8/layout/orgChart1"/>
    <dgm:cxn modelId="{6EA7E05B-9CF6-4875-8310-9E4DC6EBFA2C}" type="presParOf" srcId="{C2D4CFC6-EDEA-4994-85C4-82C320A7C677}" destId="{D088533D-A6D4-42DD-8549-CE6D6612641C}" srcOrd="0" destOrd="0" presId="urn:microsoft.com/office/officeart/2005/8/layout/orgChart1"/>
    <dgm:cxn modelId="{F6A95F12-DE52-47DA-8991-9A1C0FF9E0DB}" type="presParOf" srcId="{D088533D-A6D4-42DD-8549-CE6D6612641C}" destId="{1BB92FE5-CE5A-41FE-B673-C4A4F62BF5AB}" srcOrd="0" destOrd="0" presId="urn:microsoft.com/office/officeart/2005/8/layout/orgChart1"/>
    <dgm:cxn modelId="{72B32165-16CC-4C27-A869-113952F6F967}" type="presParOf" srcId="{D088533D-A6D4-42DD-8549-CE6D6612641C}" destId="{C55C49B2-409B-4525-9D61-0D463E355467}" srcOrd="1" destOrd="0" presId="urn:microsoft.com/office/officeart/2005/8/layout/orgChart1"/>
    <dgm:cxn modelId="{315F696A-3D7A-471F-8EBD-42DEF72417C5}" type="presParOf" srcId="{C2D4CFC6-EDEA-4994-85C4-82C320A7C677}" destId="{01E9F9E7-41C4-4196-B067-4AA632BDE21D}" srcOrd="1" destOrd="0" presId="urn:microsoft.com/office/officeart/2005/8/layout/orgChart1"/>
    <dgm:cxn modelId="{303279F7-8EED-4C3D-B279-2C59BD60F7C8}" type="presParOf" srcId="{C2D4CFC6-EDEA-4994-85C4-82C320A7C677}" destId="{16BFCAC6-DC2E-45FA-B317-635DF3BD8F62}" srcOrd="2" destOrd="0" presId="urn:microsoft.com/office/officeart/2005/8/layout/orgChart1"/>
    <dgm:cxn modelId="{094F87C1-977A-47B4-B70D-27ADC0D73F73}" type="presParOf" srcId="{44A9F1B2-39FB-45A3-AB69-4CDFB5D6C1C0}" destId="{FEA01142-F62E-4F09-955A-6EF0C7069331}" srcOrd="4" destOrd="0" presId="urn:microsoft.com/office/officeart/2005/8/layout/orgChart1"/>
    <dgm:cxn modelId="{CC27217C-063C-4FEC-8692-36534F095E5B}" type="presParOf" srcId="{44A9F1B2-39FB-45A3-AB69-4CDFB5D6C1C0}" destId="{F53AEB9B-37A0-47A7-9844-7F512AC66904}" srcOrd="5" destOrd="0" presId="urn:microsoft.com/office/officeart/2005/8/layout/orgChart1"/>
    <dgm:cxn modelId="{62F62D2E-1B3F-4D8C-AD58-FA05FE5BF773}" type="presParOf" srcId="{F53AEB9B-37A0-47A7-9844-7F512AC66904}" destId="{5BDCB8CB-9218-4565-AD2A-723662D72680}" srcOrd="0" destOrd="0" presId="urn:microsoft.com/office/officeart/2005/8/layout/orgChart1"/>
    <dgm:cxn modelId="{9007D14D-A834-4EC6-9D80-85246F5D4B9C}" type="presParOf" srcId="{5BDCB8CB-9218-4565-AD2A-723662D72680}" destId="{B509DCB6-92BF-408D-9332-348533AC8AE4}" srcOrd="0" destOrd="0" presId="urn:microsoft.com/office/officeart/2005/8/layout/orgChart1"/>
    <dgm:cxn modelId="{DBD2C5A9-B667-4F37-ADF4-CA6C75105E22}" type="presParOf" srcId="{5BDCB8CB-9218-4565-AD2A-723662D72680}" destId="{260E8905-E423-4F36-BAD2-9471CD368CFA}" srcOrd="1" destOrd="0" presId="urn:microsoft.com/office/officeart/2005/8/layout/orgChart1"/>
    <dgm:cxn modelId="{6B15B5AC-9E1C-44EF-94E6-D401404B6222}" type="presParOf" srcId="{F53AEB9B-37A0-47A7-9844-7F512AC66904}" destId="{5477AFEF-68F3-4E40-A383-B71021CC1C12}" srcOrd="1" destOrd="0" presId="urn:microsoft.com/office/officeart/2005/8/layout/orgChart1"/>
    <dgm:cxn modelId="{A351D365-6EC4-4B8C-9D2B-B4BBCC1A05E6}" type="presParOf" srcId="{F53AEB9B-37A0-47A7-9844-7F512AC66904}" destId="{C9993A71-F16C-4C0F-90DE-5F6B5DE2D2C9}" srcOrd="2" destOrd="0" presId="urn:microsoft.com/office/officeart/2005/8/layout/orgChart1"/>
    <dgm:cxn modelId="{90F5FD60-9BA1-4178-8736-CCC57F7CC737}" type="presParOf" srcId="{646878FC-A1C4-4169-97C2-0F25682FDB8A}" destId="{24437570-CAF3-40CD-AC31-3F36F640E640}" srcOrd="2" destOrd="0" presId="urn:microsoft.com/office/officeart/2005/8/layout/orgChart1"/>
    <dgm:cxn modelId="{D89CC9D4-BDB2-428D-8DAD-4020D9A2E618}" type="presParOf" srcId="{FF8BCAD5-BE9A-4430-BBC0-D43BA79507C0}" destId="{F92DD1E1-B9A1-46FB-97E4-955B61300390}" srcOrd="4" destOrd="0" presId="urn:microsoft.com/office/officeart/2005/8/layout/orgChart1"/>
    <dgm:cxn modelId="{8DA740FE-9B73-4A8E-9A43-E48D105CE757}" type="presParOf" srcId="{FF8BCAD5-BE9A-4430-BBC0-D43BA79507C0}" destId="{A9655281-1A11-48A7-A397-28B2365A7821}" srcOrd="5" destOrd="0" presId="urn:microsoft.com/office/officeart/2005/8/layout/orgChart1"/>
    <dgm:cxn modelId="{F60C6ED6-7532-4445-8A1E-24021FC53EDD}" type="presParOf" srcId="{A9655281-1A11-48A7-A397-28B2365A7821}" destId="{16DF5A1D-F328-4D8F-9A64-679F012C89FD}" srcOrd="0" destOrd="0" presId="urn:microsoft.com/office/officeart/2005/8/layout/orgChart1"/>
    <dgm:cxn modelId="{399658DF-D41F-43BE-B1EE-89E91C1B41D1}" type="presParOf" srcId="{16DF5A1D-F328-4D8F-9A64-679F012C89FD}" destId="{1BE2E877-A98C-4F5E-B162-7E381A985946}" srcOrd="0" destOrd="0" presId="urn:microsoft.com/office/officeart/2005/8/layout/orgChart1"/>
    <dgm:cxn modelId="{BA4C31BD-9737-44FF-9FDD-EEF57A0AE2CF}" type="presParOf" srcId="{16DF5A1D-F328-4D8F-9A64-679F012C89FD}" destId="{B971E225-D9F5-478B-8A95-DB5AA24C6662}" srcOrd="1" destOrd="0" presId="urn:microsoft.com/office/officeart/2005/8/layout/orgChart1"/>
    <dgm:cxn modelId="{91A2E4F5-0B33-4F37-BEBA-287EB03D55A4}" type="presParOf" srcId="{A9655281-1A11-48A7-A397-28B2365A7821}" destId="{68EA9830-A38B-4137-AD59-A7E86F6FAAA7}" srcOrd="1" destOrd="0" presId="urn:microsoft.com/office/officeart/2005/8/layout/orgChart1"/>
    <dgm:cxn modelId="{202BE610-F1D8-4A07-9C09-3699A539451F}" type="presParOf" srcId="{68EA9830-A38B-4137-AD59-A7E86F6FAAA7}" destId="{FE6A734C-CD98-41BA-B25A-1C4D4AE8317A}" srcOrd="0" destOrd="0" presId="urn:microsoft.com/office/officeart/2005/8/layout/orgChart1"/>
    <dgm:cxn modelId="{7E76F913-9CB2-4C6A-9C06-E567DC50E1C5}" type="presParOf" srcId="{68EA9830-A38B-4137-AD59-A7E86F6FAAA7}" destId="{0CFBA51D-31D1-471A-9BC7-2CEB9D7C399F}" srcOrd="1" destOrd="0" presId="urn:microsoft.com/office/officeart/2005/8/layout/orgChart1"/>
    <dgm:cxn modelId="{13F2524C-774F-40A7-9D73-B8F13821A37E}" type="presParOf" srcId="{0CFBA51D-31D1-471A-9BC7-2CEB9D7C399F}" destId="{0D15A8F0-925F-4930-A883-35E4E6551285}" srcOrd="0" destOrd="0" presId="urn:microsoft.com/office/officeart/2005/8/layout/orgChart1"/>
    <dgm:cxn modelId="{0B5CB602-ACD7-493A-8A66-7D560B1F0DFD}" type="presParOf" srcId="{0D15A8F0-925F-4930-A883-35E4E6551285}" destId="{6A43EABD-03AA-415F-BE3A-2DD31AB048C5}" srcOrd="0" destOrd="0" presId="urn:microsoft.com/office/officeart/2005/8/layout/orgChart1"/>
    <dgm:cxn modelId="{066F99AA-7A2D-4CDE-A302-A397A3630974}" type="presParOf" srcId="{0D15A8F0-925F-4930-A883-35E4E6551285}" destId="{DECA7EAF-1BEF-41A3-ABB3-5EAA3BAAF462}" srcOrd="1" destOrd="0" presId="urn:microsoft.com/office/officeart/2005/8/layout/orgChart1"/>
    <dgm:cxn modelId="{C257B282-7504-445A-B5DB-12A8016AB206}" type="presParOf" srcId="{0CFBA51D-31D1-471A-9BC7-2CEB9D7C399F}" destId="{D85C8B7E-C5E4-4E2B-A51E-8DED9E096F4F}" srcOrd="1" destOrd="0" presId="urn:microsoft.com/office/officeart/2005/8/layout/orgChart1"/>
    <dgm:cxn modelId="{E6C5EF2B-2858-4F1B-A55B-FB28035C4302}" type="presParOf" srcId="{0CFBA51D-31D1-471A-9BC7-2CEB9D7C399F}" destId="{9A795A8B-98A0-4E3A-8C63-BBCD9EC7B428}" srcOrd="2" destOrd="0" presId="urn:microsoft.com/office/officeart/2005/8/layout/orgChart1"/>
    <dgm:cxn modelId="{ABE76644-67DC-4573-B3E2-30479DFC9AE1}" type="presParOf" srcId="{68EA9830-A38B-4137-AD59-A7E86F6FAAA7}" destId="{D978C072-8E92-43C4-91B3-F3E661B7ABAC}" srcOrd="2" destOrd="0" presId="urn:microsoft.com/office/officeart/2005/8/layout/orgChart1"/>
    <dgm:cxn modelId="{DDFD29CC-105B-431B-8FB3-F78904F6149A}" type="presParOf" srcId="{68EA9830-A38B-4137-AD59-A7E86F6FAAA7}" destId="{4BE219A9-D29C-4EF0-AD63-17317A4642BE}" srcOrd="3" destOrd="0" presId="urn:microsoft.com/office/officeart/2005/8/layout/orgChart1"/>
    <dgm:cxn modelId="{0855BEC8-61B9-4D7B-A2E7-E4A85EA933A0}" type="presParOf" srcId="{4BE219A9-D29C-4EF0-AD63-17317A4642BE}" destId="{33E3FF0E-3075-4C97-9AB8-B35A81D99026}" srcOrd="0" destOrd="0" presId="urn:microsoft.com/office/officeart/2005/8/layout/orgChart1"/>
    <dgm:cxn modelId="{EDF5C19A-620D-4B39-8958-D0010AB1664C}" type="presParOf" srcId="{33E3FF0E-3075-4C97-9AB8-B35A81D99026}" destId="{19B89C79-DE41-4F48-9743-7325556D13A7}" srcOrd="0" destOrd="0" presId="urn:microsoft.com/office/officeart/2005/8/layout/orgChart1"/>
    <dgm:cxn modelId="{5FEC91D8-16F3-405A-A4BB-FE0572FE6BA4}" type="presParOf" srcId="{33E3FF0E-3075-4C97-9AB8-B35A81D99026}" destId="{135572E7-D0A9-47F1-B57C-3842E7D4BA7A}" srcOrd="1" destOrd="0" presId="urn:microsoft.com/office/officeart/2005/8/layout/orgChart1"/>
    <dgm:cxn modelId="{BE903FA8-4873-44EA-874D-6CA3C4471A96}" type="presParOf" srcId="{4BE219A9-D29C-4EF0-AD63-17317A4642BE}" destId="{E0086AA6-9892-483C-8BF3-8DFA11CB0C89}" srcOrd="1" destOrd="0" presId="urn:microsoft.com/office/officeart/2005/8/layout/orgChart1"/>
    <dgm:cxn modelId="{52F90BB1-E9BE-47F7-ACDB-8E0E2F9F0BD8}" type="presParOf" srcId="{4BE219A9-D29C-4EF0-AD63-17317A4642BE}" destId="{294FCD5E-48DF-44D1-87AD-8120DD61C071}" srcOrd="2" destOrd="0" presId="urn:microsoft.com/office/officeart/2005/8/layout/orgChart1"/>
    <dgm:cxn modelId="{36BB2798-EF14-4B15-91D3-1F25C45255D9}" type="presParOf" srcId="{68EA9830-A38B-4137-AD59-A7E86F6FAAA7}" destId="{8E487ED1-854B-4A52-9737-AAF07A5B6561}" srcOrd="4" destOrd="0" presId="urn:microsoft.com/office/officeart/2005/8/layout/orgChart1"/>
    <dgm:cxn modelId="{C9FA4CFB-1321-45C2-9190-96B2F4278879}" type="presParOf" srcId="{68EA9830-A38B-4137-AD59-A7E86F6FAAA7}" destId="{0EDA9EF3-F649-4B52-AB88-688C9B52ADAD}" srcOrd="5" destOrd="0" presId="urn:microsoft.com/office/officeart/2005/8/layout/orgChart1"/>
    <dgm:cxn modelId="{299E382F-DE84-4D9F-8A16-2EF467B5FA48}" type="presParOf" srcId="{0EDA9EF3-F649-4B52-AB88-688C9B52ADAD}" destId="{B6A5BF6A-F825-4E87-9BF1-F12F0E1A2824}" srcOrd="0" destOrd="0" presId="urn:microsoft.com/office/officeart/2005/8/layout/orgChart1"/>
    <dgm:cxn modelId="{817ACFE3-E9A9-4AF2-BB65-A274CB48C147}" type="presParOf" srcId="{B6A5BF6A-F825-4E87-9BF1-F12F0E1A2824}" destId="{0E67771F-D6B3-42E0-A4EC-8EA8EA99163C}" srcOrd="0" destOrd="0" presId="urn:microsoft.com/office/officeart/2005/8/layout/orgChart1"/>
    <dgm:cxn modelId="{91EC103F-A7E0-44CB-B781-C6B0238A39E8}" type="presParOf" srcId="{B6A5BF6A-F825-4E87-9BF1-F12F0E1A2824}" destId="{56227AB4-9AF1-4700-B97A-335834EB032E}" srcOrd="1" destOrd="0" presId="urn:microsoft.com/office/officeart/2005/8/layout/orgChart1"/>
    <dgm:cxn modelId="{0F0A65CB-56A6-4D16-9271-3A976C945662}" type="presParOf" srcId="{0EDA9EF3-F649-4B52-AB88-688C9B52ADAD}" destId="{5913F22F-50C4-401C-9266-A98924DA7048}" srcOrd="1" destOrd="0" presId="urn:microsoft.com/office/officeart/2005/8/layout/orgChart1"/>
    <dgm:cxn modelId="{487E28C6-8328-4E83-8492-22CAE0C2BF35}" type="presParOf" srcId="{0EDA9EF3-F649-4B52-AB88-688C9B52ADAD}" destId="{2A7854A4-11CB-4163-A81B-CB4274046604}" srcOrd="2" destOrd="0" presId="urn:microsoft.com/office/officeart/2005/8/layout/orgChart1"/>
    <dgm:cxn modelId="{84B08679-B6BC-4021-84C9-E1E850E97C9F}" type="presParOf" srcId="{A9655281-1A11-48A7-A397-28B2365A7821}" destId="{B9E18785-60C1-46A6-89DB-EFB0849FC9C4}" srcOrd="2" destOrd="0" presId="urn:microsoft.com/office/officeart/2005/8/layout/orgChart1"/>
    <dgm:cxn modelId="{324A0B95-9CF2-46C0-8534-8B730DBE4523}" type="presParOf" srcId="{FF8BCAD5-BE9A-4430-BBC0-D43BA79507C0}" destId="{98DD77B9-6508-4827-9493-60FB472DE478}" srcOrd="6" destOrd="0" presId="urn:microsoft.com/office/officeart/2005/8/layout/orgChart1"/>
    <dgm:cxn modelId="{2D9E4C74-0D6D-479C-9F7C-18F947D7608D}" type="presParOf" srcId="{FF8BCAD5-BE9A-4430-BBC0-D43BA79507C0}" destId="{1575CE88-5799-4DA5-9BC6-09897D82DF48}" srcOrd="7" destOrd="0" presId="urn:microsoft.com/office/officeart/2005/8/layout/orgChart1"/>
    <dgm:cxn modelId="{2CD70A49-FB25-4A8E-BF3C-E4F0909B0A78}" type="presParOf" srcId="{1575CE88-5799-4DA5-9BC6-09897D82DF48}" destId="{F09DB981-3CD5-4201-8323-D09C948E8960}" srcOrd="0" destOrd="0" presId="urn:microsoft.com/office/officeart/2005/8/layout/orgChart1"/>
    <dgm:cxn modelId="{BF9739EA-74A3-4943-AD81-F0A6793A3DFB}" type="presParOf" srcId="{F09DB981-3CD5-4201-8323-D09C948E8960}" destId="{42D1E0BE-354F-4E3C-8806-1977ECF66EA1}" srcOrd="0" destOrd="0" presId="urn:microsoft.com/office/officeart/2005/8/layout/orgChart1"/>
    <dgm:cxn modelId="{33CBE05B-039C-4C4D-B248-B0A34B233EE9}" type="presParOf" srcId="{F09DB981-3CD5-4201-8323-D09C948E8960}" destId="{6280D6AE-52C6-48FA-A310-9B841171A626}" srcOrd="1" destOrd="0" presId="urn:microsoft.com/office/officeart/2005/8/layout/orgChart1"/>
    <dgm:cxn modelId="{BAAB087B-4FC6-4D8F-A562-486B69DDC5BC}" type="presParOf" srcId="{1575CE88-5799-4DA5-9BC6-09897D82DF48}" destId="{E2551EF9-F6B8-4D10-ADCE-CA18AB6F6C19}" srcOrd="1" destOrd="0" presId="urn:microsoft.com/office/officeart/2005/8/layout/orgChart1"/>
    <dgm:cxn modelId="{5C46241E-F3AC-4E3C-8C18-CCA6A22CC932}" type="presParOf" srcId="{E2551EF9-F6B8-4D10-ADCE-CA18AB6F6C19}" destId="{24BF0753-546B-46C2-86A1-B85748862C03}" srcOrd="0" destOrd="0" presId="urn:microsoft.com/office/officeart/2005/8/layout/orgChart1"/>
    <dgm:cxn modelId="{890CBC26-7992-428F-9DB2-30C1A6A79CC1}" type="presParOf" srcId="{E2551EF9-F6B8-4D10-ADCE-CA18AB6F6C19}" destId="{8697166C-E6C4-4FAC-9932-876C66AFF466}" srcOrd="1" destOrd="0" presId="urn:microsoft.com/office/officeart/2005/8/layout/orgChart1"/>
    <dgm:cxn modelId="{43D4DB2B-332D-44E2-BD74-CB5508F4AD35}" type="presParOf" srcId="{8697166C-E6C4-4FAC-9932-876C66AFF466}" destId="{288D150C-2503-4F00-B391-0AABDF1A2B25}" srcOrd="0" destOrd="0" presId="urn:microsoft.com/office/officeart/2005/8/layout/orgChart1"/>
    <dgm:cxn modelId="{6713DA1E-B01D-401E-B631-6964429519AF}" type="presParOf" srcId="{288D150C-2503-4F00-B391-0AABDF1A2B25}" destId="{6D82EA0F-014F-47C5-883A-DB387EA6CDAE}" srcOrd="0" destOrd="0" presId="urn:microsoft.com/office/officeart/2005/8/layout/orgChart1"/>
    <dgm:cxn modelId="{39BCAB21-81E0-4AF1-861F-50D1321465F0}" type="presParOf" srcId="{288D150C-2503-4F00-B391-0AABDF1A2B25}" destId="{F512030C-FBC5-4D3B-A89E-F874314E7A02}" srcOrd="1" destOrd="0" presId="urn:microsoft.com/office/officeart/2005/8/layout/orgChart1"/>
    <dgm:cxn modelId="{4C57EA40-4725-4E3F-9931-1BF30D3A28E1}" type="presParOf" srcId="{8697166C-E6C4-4FAC-9932-876C66AFF466}" destId="{EEE75C39-9E08-4ACA-8276-F910AEA8229E}" srcOrd="1" destOrd="0" presId="urn:microsoft.com/office/officeart/2005/8/layout/orgChart1"/>
    <dgm:cxn modelId="{E2FE6108-E817-4B82-9682-9ACA8B11D99C}" type="presParOf" srcId="{8697166C-E6C4-4FAC-9932-876C66AFF466}" destId="{FC544A9F-2494-4136-ADB2-6C417971A872}" srcOrd="2" destOrd="0" presId="urn:microsoft.com/office/officeart/2005/8/layout/orgChart1"/>
    <dgm:cxn modelId="{E51FED85-3C7D-4916-8B9C-E38F2779C9C9}" type="presParOf" srcId="{E2551EF9-F6B8-4D10-ADCE-CA18AB6F6C19}" destId="{E3C07E89-C63D-4449-9138-B5EE3042C7A8}" srcOrd="2" destOrd="0" presId="urn:microsoft.com/office/officeart/2005/8/layout/orgChart1"/>
    <dgm:cxn modelId="{60FC863D-67FA-433B-9CEB-B6EA5B701230}" type="presParOf" srcId="{E2551EF9-F6B8-4D10-ADCE-CA18AB6F6C19}" destId="{21231F1F-CAD0-4EB2-A434-8F3A9A0C0BD5}" srcOrd="3" destOrd="0" presId="urn:microsoft.com/office/officeart/2005/8/layout/orgChart1"/>
    <dgm:cxn modelId="{1B31E8CC-AE39-4253-BA58-489232E48BB9}" type="presParOf" srcId="{21231F1F-CAD0-4EB2-A434-8F3A9A0C0BD5}" destId="{875569A0-C5C9-4FF7-87B8-70C23F8F6DD7}" srcOrd="0" destOrd="0" presId="urn:microsoft.com/office/officeart/2005/8/layout/orgChart1"/>
    <dgm:cxn modelId="{B82DE7D9-2708-4062-801A-4CE50FF1A9BD}" type="presParOf" srcId="{875569A0-C5C9-4FF7-87B8-70C23F8F6DD7}" destId="{16466F66-21BE-440C-AFE1-27401EFCD165}" srcOrd="0" destOrd="0" presId="urn:microsoft.com/office/officeart/2005/8/layout/orgChart1"/>
    <dgm:cxn modelId="{18937DED-27C6-4400-A4C0-A24A7263240C}" type="presParOf" srcId="{875569A0-C5C9-4FF7-87B8-70C23F8F6DD7}" destId="{D53A79D7-A77E-459E-B55D-EB99EE7432DA}" srcOrd="1" destOrd="0" presId="urn:microsoft.com/office/officeart/2005/8/layout/orgChart1"/>
    <dgm:cxn modelId="{B94E3559-11EE-4432-9C05-362E3E394F5F}" type="presParOf" srcId="{21231F1F-CAD0-4EB2-A434-8F3A9A0C0BD5}" destId="{BC9CDFBC-A3BD-4452-8253-FC21870E061E}" srcOrd="1" destOrd="0" presId="urn:microsoft.com/office/officeart/2005/8/layout/orgChart1"/>
    <dgm:cxn modelId="{3A28E058-CB49-4179-8955-1DCEA488F9E2}" type="presParOf" srcId="{21231F1F-CAD0-4EB2-A434-8F3A9A0C0BD5}" destId="{72FF905A-11BA-41AD-B5F5-3E7D0248EAC5}" srcOrd="2" destOrd="0" presId="urn:microsoft.com/office/officeart/2005/8/layout/orgChart1"/>
    <dgm:cxn modelId="{CFA7203B-AD91-47D8-B6E4-1D6A64FF0899}" type="presParOf" srcId="{E2551EF9-F6B8-4D10-ADCE-CA18AB6F6C19}" destId="{A87082C9-45F3-410C-83B8-8C1C4E93FA1C}" srcOrd="4" destOrd="0" presId="urn:microsoft.com/office/officeart/2005/8/layout/orgChart1"/>
    <dgm:cxn modelId="{E6C30430-DAA8-4467-9F71-76D533453557}" type="presParOf" srcId="{E2551EF9-F6B8-4D10-ADCE-CA18AB6F6C19}" destId="{5829CBEC-FF79-45A1-A645-BDDC9CDFC4C1}" srcOrd="5" destOrd="0" presId="urn:microsoft.com/office/officeart/2005/8/layout/orgChart1"/>
    <dgm:cxn modelId="{3562AF92-AB07-48D7-BAD3-D6BF44B1B7D8}" type="presParOf" srcId="{5829CBEC-FF79-45A1-A645-BDDC9CDFC4C1}" destId="{3385CAAA-3FDB-49A4-A502-B8C3537CDCA1}" srcOrd="0" destOrd="0" presId="urn:microsoft.com/office/officeart/2005/8/layout/orgChart1"/>
    <dgm:cxn modelId="{E3EECEAD-18FF-4167-9675-A440FB61E294}" type="presParOf" srcId="{3385CAAA-3FDB-49A4-A502-B8C3537CDCA1}" destId="{2841514A-A0DB-45C8-A350-781612C53CB7}" srcOrd="0" destOrd="0" presId="urn:microsoft.com/office/officeart/2005/8/layout/orgChart1"/>
    <dgm:cxn modelId="{3B4E6F23-8A6B-4334-81C9-C0D95DA94E7C}" type="presParOf" srcId="{3385CAAA-3FDB-49A4-A502-B8C3537CDCA1}" destId="{669661FF-25DD-4243-AB62-68FDBEE0DB7C}" srcOrd="1" destOrd="0" presId="urn:microsoft.com/office/officeart/2005/8/layout/orgChart1"/>
    <dgm:cxn modelId="{4408554C-D892-4A3F-9789-06B018661006}" type="presParOf" srcId="{5829CBEC-FF79-45A1-A645-BDDC9CDFC4C1}" destId="{67183722-17A1-4727-AAA6-0A14AB58ED05}" srcOrd="1" destOrd="0" presId="urn:microsoft.com/office/officeart/2005/8/layout/orgChart1"/>
    <dgm:cxn modelId="{37987AFE-F00F-4534-AE2B-8D2E09746840}" type="presParOf" srcId="{5829CBEC-FF79-45A1-A645-BDDC9CDFC4C1}" destId="{10FEBB28-75D6-4A28-A5E8-76720F8194DB}" srcOrd="2" destOrd="0" presId="urn:microsoft.com/office/officeart/2005/8/layout/orgChart1"/>
    <dgm:cxn modelId="{3F52767D-4C34-46E1-883D-941DC962217F}" type="presParOf" srcId="{1575CE88-5799-4DA5-9BC6-09897D82DF48}" destId="{0BA468DC-1E4F-47B6-834D-E8FC08A235B4}" srcOrd="2" destOrd="0" presId="urn:microsoft.com/office/officeart/2005/8/layout/orgChart1"/>
    <dgm:cxn modelId="{D196F84A-9F9F-444D-AE5F-3C556FBE5CB2}" type="presParOf" srcId="{03C0F827-EF46-4C6A-8A7B-173F39D63C47}" destId="{3ABEBA5C-E863-4AB9-8F74-BB798A86922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CA0C4A7D-87B4-42FC-B473-86E796E6DB38}" type="doc">
      <dgm:prSet loTypeId="urn:microsoft.com/office/officeart/2005/8/layout/orgChart1" loCatId="hierarchy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CA"/>
        </a:p>
      </dgm:t>
    </dgm:pt>
    <dgm:pt modelId="{3D4AA21C-8618-4D88-ADD2-82497DC1C3C8}">
      <dgm:prSet phldrT="[Text]" custT="1"/>
      <dgm:spPr>
        <a:solidFill>
          <a:schemeClr val="accent6">
            <a:lumMod val="50000"/>
          </a:schemeClr>
        </a:solidFill>
      </dgm:spPr>
      <dgm:t>
        <a:bodyPr/>
        <a:lstStyle/>
        <a:p>
          <a:r>
            <a:rPr lang="en-CA" sz="1000" b="1">
              <a:solidFill>
                <a:schemeClr val="bg1"/>
              </a:solidFill>
              <a:latin typeface="+mn-lt"/>
              <a:ea typeface="+mn-ea"/>
            </a:rPr>
            <a:t>Development</a:t>
          </a:r>
        </a:p>
      </dgm:t>
    </dgm:pt>
    <dgm:pt modelId="{55DD5BB0-27D4-4C12-9A68-2D22B56B3DB9}" type="par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BA36D946-1E1C-4B8A-8920-C56DB42187D5}" type="sibTrans" cxnId="{F49C61F9-6346-4223-916A-0CDD3FF00F58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A5AE3037-5CDE-48B1-980D-BF755907F721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3.1. Account Management</a:t>
          </a:r>
        </a:p>
      </dgm:t>
    </dgm:pt>
    <dgm:pt modelId="{E2EA3DBF-0B05-4BE9-80CF-CD8065633172}" type="parTrans" cxnId="{E12D52B8-7AF8-41E4-8169-4569F54348E5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4B6C03A1-DC02-49AD-83B0-4E4E3C4E4627}" type="sibTrans" cxnId="{E12D52B8-7AF8-41E4-8169-4569F54348E5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1007B6F3-05BC-4F7A-8E1A-37C08373F646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3.3. Pet Browsing</a:t>
          </a:r>
        </a:p>
      </dgm:t>
    </dgm:pt>
    <dgm:pt modelId="{DC323120-D202-4A8E-953D-322761F16AE2}" type="parTrans" cxnId="{E36013EA-09C0-49C1-8A23-0972C103C6B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228E9085-F602-4C47-9F8C-5187B1EC5A82}" type="sibTrans" cxnId="{E36013EA-09C0-49C1-8A23-0972C103C6B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B850433-3650-48AA-859B-F06BE9D5D2A1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7B0DE2BE-30B8-41A2-9742-9F7D501ABEE0}" type="parTrans" cxnId="{5E97D352-E701-45B2-AC47-7FC0773CA41F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10704553-64AA-4B37-B0EC-C2F455ECB4C5}" type="sibTrans" cxnId="{5E97D352-E701-45B2-AC47-7FC0773CA41F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F69D1FAD-E8C8-4443-9C53-33D08E3DE8CE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en-CA" sz="1000" b="1">
              <a:solidFill>
                <a:sysClr val="windowText" lastClr="000000"/>
              </a:solidFill>
              <a:latin typeface="+mn-lt"/>
            </a:rPr>
            <a:t>3.2. Pet Management</a:t>
          </a:r>
        </a:p>
      </dgm:t>
    </dgm:pt>
    <dgm:pt modelId="{474A8C66-2F0D-4397-874A-DDCABFDC54EB}" type="parTrans" cxnId="{F56F7FBB-D02E-4B82-A727-8F1A3DE0EADA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F2361F06-5F23-4E4E-93B2-3A55630A94F3}" type="sibTrans" cxnId="{F56F7FBB-D02E-4B82-A727-8F1A3DE0EADA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882B9642-DB5D-4415-8141-174046543928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1768B429-B295-4E12-A4E5-2959760A26BB}" type="parTrans" cxnId="{26035A75-A7B8-481A-9B7C-A1DD774E82AB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CEF1BA8D-8962-4916-A848-7A69DE1F430D}" type="sibTrans" cxnId="{26035A75-A7B8-481A-9B7C-A1DD774E82AB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8B0EAEC7-B4D5-4CF1-85E4-FC7CBAB245A6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FA1804DE-9856-4A08-B6E3-E8E7C1EC73C0}" type="parTrans" cxnId="{6ED3C603-97B0-4752-B216-DC9E87E399A5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00DA78FB-7979-4ADC-A1E7-89CD20DF37F4}" type="sibTrans" cxnId="{6ED3C603-97B0-4752-B216-DC9E87E399A5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0202D3B0-F039-4A45-9B54-52DE61CC6EBF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Pet Inquiries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3DA5B83C-D6D6-4F7C-810E-D00E25F2DA99}" type="parTrans" cxnId="{9462EE48-C752-4738-8121-7C5F5D8E3EA9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B9F88689-25EB-4604-9BE4-089FAC838E94}" type="sibTrans" cxnId="{9462EE48-C752-4738-8121-7C5F5D8E3EA9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367DA472-A6B5-4A65-AA92-ABD67FD1CC00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9190B60C-4242-4AB8-BE76-B364159818C9}" type="parTrans" cxnId="{CFCB7A42-AF82-45F9-9001-D0C2BA0C1D68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15DB7952-266A-46BB-A9FF-6186DD342E36}" type="sibTrans" cxnId="{CFCB7A42-AF82-45F9-9001-D0C2BA0C1D68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BAD477F3-63B5-42EE-B3B5-05689244E517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A3C9C18B-9E10-4A65-87A8-C6D2F29C4622}" type="parTrans" cxnId="{9B2D7A24-DB78-4C8D-88B7-D2C0CE2B8877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81F2F3B1-1E4B-4A1D-937B-28A35B243ECF}" type="sibTrans" cxnId="{9B2D7A24-DB78-4C8D-88B7-D2C0CE2B8877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ED054F05-DECF-448A-832E-B98612B081A1}">
      <dgm:prSet phldrT="[Text]" custT="1"/>
      <dgm:spPr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6350" tIns="6350" rIns="6350" bIns="6350" numCol="1" spcCol="1270" anchor="ctr" anchorCtr="0"/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  <a:cs typeface="Arial"/>
            </a:rPr>
            <a:t>3.1. Authentication</a:t>
          </a:r>
          <a:endParaRPr lang="en-CA" sz="1000" b="1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759A86B6-2F79-4936-8581-07D0B45049CD}" type="parTrans" cxnId="{426D991C-BC7B-4286-A3EF-54B92D418A56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5E0090F4-BA9F-4822-A5B4-2C1E9396E774}" type="sibTrans" cxnId="{426D991C-BC7B-4286-A3EF-54B92D418A56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728EF172-F1A2-4630-ACBD-09151A8D42E0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3.1.1. Login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E0E28DCF-A5AB-4C9B-8D6E-5C57C3D6B80D}" type="parTrans" cxnId="{DDD991E8-0698-44E8-A37F-6B5F05ED00D4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06896C4B-0AE3-4711-993A-9BB0A56EB6F2}" type="sibTrans" cxnId="{DDD991E8-0698-44E8-A37F-6B5F05ED00D4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66822BD2-E0EA-4B23-8515-68CA5DAF36F2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3.1.2. Registration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CA170EC8-BD45-473C-9A48-D8E4B862E170}" type="parTrans" cxnId="{FCB5A58B-E24A-469E-A23E-5C47ED6D1DBE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9E76F400-F081-40C5-B061-15C7F717FAD8}" type="sibTrans" cxnId="{FCB5A58B-E24A-469E-A23E-5C47ED6D1DBE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F56A11B0-F829-4403-B03B-66574A081A1D}">
      <dgm:prSet phldrT="[Text]" custT="1"/>
      <dgm:spPr>
        <a:solidFill>
          <a:schemeClr val="accent3">
            <a:lumMod val="40000"/>
            <a:lumOff val="60000"/>
          </a:schemeClr>
        </a:solidFill>
      </dgm:spPr>
      <dgm:t>
        <a:bodyPr lIns="108000" tIns="72000" rIns="36000" bIns="72000"/>
        <a:lstStyle/>
        <a:p>
          <a:pPr algn="l"/>
          <a:r>
            <a:rPr lang="en-CA" sz="1000" dirty="0">
              <a:solidFill>
                <a:sysClr val="windowText" lastClr="000000"/>
              </a:solidFill>
              <a:latin typeface="+mn-lt"/>
            </a:rPr>
            <a:t>3.4.1. Edit Profile Name and Details</a:t>
          </a:r>
          <a:endParaRPr lang="en-CA" sz="1000">
            <a:solidFill>
              <a:sysClr val="windowText" lastClr="000000"/>
            </a:solidFill>
            <a:latin typeface="+mn-lt"/>
          </a:endParaRPr>
        </a:p>
      </dgm:t>
    </dgm:pt>
    <dgm:pt modelId="{1795EB77-CC6C-4AC9-AEB9-E8649F4A642D}" type="sibTrans" cxnId="{348ADE71-4DE7-4FC4-8AD4-2C3B295510A4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3EE6172B-B803-440C-92DD-765D3BC6ACDB}" type="parTrans" cxnId="{348ADE71-4DE7-4FC4-8AD4-2C3B295510A4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5CAD7F8E-2D4B-494E-A9B3-8662F2F1C876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3.4.3.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393E730C-51B3-4EB3-A4BB-C31B5045F139}" type="sibTrans" cxnId="{2A34B621-429B-41E7-8116-28E63095749A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A716377B-5CE5-4BB0-887C-C66ADEDEFCD0}" type="parTrans" cxnId="{2A34B621-429B-41E7-8116-28E63095749A}">
      <dgm:prSet/>
      <dgm:spPr/>
      <dgm:t>
        <a:bodyPr/>
        <a:lstStyle/>
        <a:p>
          <a:endParaRPr lang="en-CA">
            <a:latin typeface="+mn-lt"/>
          </a:endParaRPr>
        </a:p>
      </dgm:t>
    </dgm:pt>
    <dgm:pt modelId="{2FFF8319-69F4-486B-882F-5B37384F1260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3.4.2.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9D29A0EC-B56A-4231-9A14-54A739D4E7C0}" type="sibTrans" cxnId="{4A9D80B2-A778-4F3C-BF32-893B6F3B935A}">
      <dgm:prSet/>
      <dgm:spPr/>
      <dgm:t>
        <a:bodyPr/>
        <a:lstStyle/>
        <a:p>
          <a:endParaRPr lang="en-CA" sz="1000">
            <a:latin typeface="+mn-lt"/>
          </a:endParaRPr>
        </a:p>
      </dgm:t>
    </dgm:pt>
    <dgm:pt modelId="{4ECF0464-F6E6-4CE3-8866-0ED853614CC9}" type="parTrans" cxnId="{4A9D80B2-A778-4F3C-BF32-893B6F3B935A}">
      <dgm:prSet custT="1"/>
      <dgm:spPr/>
      <dgm:t>
        <a:bodyPr/>
        <a:lstStyle/>
        <a:p>
          <a:endParaRPr lang="en-CA" sz="1000">
            <a:latin typeface="+mn-lt"/>
          </a:endParaRPr>
        </a:p>
      </dgm:t>
    </dgm:pt>
    <dgm:pt modelId="{329BF0EB-3F7B-441A-9E2A-5E7CF2910317}">
      <dgm:prSet phldrT="[Text]" custT="1"/>
      <dgm:spPr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gm:spPr>
      <dgm:t>
        <a:bodyPr spcFirstLastPara="0" vert="horz" wrap="square" lIns="108000" tIns="72000" rIns="36000" bIns="72000" numCol="1" spcCol="1270" anchor="ctr" anchorCtr="0"/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3.3.4. </a:t>
          </a:r>
          <a:r>
            <a:rPr lang="en-GB" sz="1000" kern="1200">
              <a:solidFill>
                <a:sysClr val="windowText" lastClr="000000"/>
              </a:solidFill>
              <a:latin typeface="+mn-lt"/>
              <a:cs typeface="Arial"/>
            </a:rPr>
            <a:t>Shelter Rating System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gm:t>
    </dgm:pt>
    <dgm:pt modelId="{C8E0B336-3FAE-49E2-9905-265ED6B873CF}" type="parTrans" cxnId="{899EED84-987F-4A86-8C03-E11F344EB656}">
      <dgm:prSet/>
      <dgm:spPr/>
      <dgm:t>
        <a:bodyPr/>
        <a:lstStyle/>
        <a:p>
          <a:endParaRPr lang="en-GB"/>
        </a:p>
      </dgm:t>
    </dgm:pt>
    <dgm:pt modelId="{E5DC9C0C-7D86-4A18-8F33-99A9CDAAD94D}" type="sibTrans" cxnId="{899EED84-987F-4A86-8C03-E11F344EB656}">
      <dgm:prSet/>
      <dgm:spPr/>
      <dgm:t>
        <a:bodyPr/>
        <a:lstStyle/>
        <a:p>
          <a:endParaRPr lang="en-GB"/>
        </a:p>
      </dgm:t>
    </dgm:pt>
    <dgm:pt modelId="{AE5E83A7-0964-4C8F-AE38-A162F9EC1141}" type="pres">
      <dgm:prSet presAssocID="{CA0C4A7D-87B4-42FC-B473-86E796E6DB38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3C0F827-EF46-4C6A-8A7B-173F39D63C47}" type="pres">
      <dgm:prSet presAssocID="{3D4AA21C-8618-4D88-ADD2-82497DC1C3C8}" presName="hierRoot1" presStyleCnt="0">
        <dgm:presLayoutVars>
          <dgm:hierBranch val="init"/>
        </dgm:presLayoutVars>
      </dgm:prSet>
      <dgm:spPr/>
    </dgm:pt>
    <dgm:pt modelId="{C17EA8BB-09B7-4C3C-8988-EB642C1DB8DA}" type="pres">
      <dgm:prSet presAssocID="{3D4AA21C-8618-4D88-ADD2-82497DC1C3C8}" presName="rootComposite1" presStyleCnt="0"/>
      <dgm:spPr/>
    </dgm:pt>
    <dgm:pt modelId="{C9906B2A-6D0D-4B97-86E9-67AB72BB51C3}" type="pres">
      <dgm:prSet presAssocID="{3D4AA21C-8618-4D88-ADD2-82497DC1C3C8}" presName="rootText1" presStyleLbl="node0" presStyleIdx="0" presStyleCnt="1" custScaleX="275290" custScaleY="110116">
        <dgm:presLayoutVars>
          <dgm:chPref val="3"/>
        </dgm:presLayoutVars>
      </dgm:prSet>
      <dgm:spPr>
        <a:prstGeom prst="roundRect">
          <a:avLst/>
        </a:prstGeom>
      </dgm:spPr>
    </dgm:pt>
    <dgm:pt modelId="{02ACD5D0-6C9D-484A-BD23-29ABC006DAEA}" type="pres">
      <dgm:prSet presAssocID="{3D4AA21C-8618-4D88-ADD2-82497DC1C3C8}" presName="rootConnector1" presStyleLbl="node1" presStyleIdx="0" presStyleCnt="0"/>
      <dgm:spPr/>
    </dgm:pt>
    <dgm:pt modelId="{FF8BCAD5-BE9A-4430-BBC0-D43BA79507C0}" type="pres">
      <dgm:prSet presAssocID="{3D4AA21C-8618-4D88-ADD2-82497DC1C3C8}" presName="hierChild2" presStyleCnt="0"/>
      <dgm:spPr/>
    </dgm:pt>
    <dgm:pt modelId="{93F63975-AD3A-48CE-8A6A-39CA9BB236AA}" type="pres">
      <dgm:prSet presAssocID="{759A86B6-2F79-4936-8581-07D0B45049CD}" presName="Name37" presStyleLbl="parChTrans1D2" presStyleIdx="0" presStyleCnt="4"/>
      <dgm:spPr/>
    </dgm:pt>
    <dgm:pt modelId="{49325649-D094-4BD1-A2F7-B0C137CD3783}" type="pres">
      <dgm:prSet presAssocID="{ED054F05-DECF-448A-832E-B98612B081A1}" presName="hierRoot2" presStyleCnt="0">
        <dgm:presLayoutVars>
          <dgm:hierBranch val="init"/>
        </dgm:presLayoutVars>
      </dgm:prSet>
      <dgm:spPr/>
    </dgm:pt>
    <dgm:pt modelId="{70789CCD-8B0C-49CD-B4B8-0C065B45323F}" type="pres">
      <dgm:prSet presAssocID="{ED054F05-DECF-448A-832E-B98612B081A1}" presName="rootComposite" presStyleCnt="0"/>
      <dgm:spPr/>
    </dgm:pt>
    <dgm:pt modelId="{0A209B85-31FA-4E41-BE45-2EB0F430555C}" type="pres">
      <dgm:prSet presAssocID="{ED054F05-DECF-448A-832E-B98612B081A1}" presName="rootText" presStyleLbl="node2" presStyleIdx="0" presStyleCnt="4" custScaleX="310112" custScaleY="162351">
        <dgm:presLayoutVars>
          <dgm:chPref val="3"/>
        </dgm:presLayoutVars>
      </dgm:prSet>
      <dgm:spPr>
        <a:prstGeom prst="roundRect">
          <a:avLst/>
        </a:prstGeom>
      </dgm:spPr>
    </dgm:pt>
    <dgm:pt modelId="{93AA080D-57AE-4E81-958D-F9A1D38E6CF3}" type="pres">
      <dgm:prSet presAssocID="{ED054F05-DECF-448A-832E-B98612B081A1}" presName="rootConnector" presStyleLbl="node2" presStyleIdx="0" presStyleCnt="4"/>
      <dgm:spPr/>
    </dgm:pt>
    <dgm:pt modelId="{5B8EF062-37A5-49E6-A886-57B55A36AD80}" type="pres">
      <dgm:prSet presAssocID="{ED054F05-DECF-448A-832E-B98612B081A1}" presName="hierChild4" presStyleCnt="0"/>
      <dgm:spPr/>
    </dgm:pt>
    <dgm:pt modelId="{07890C3C-0C34-43C6-B53A-43502EC7872E}" type="pres">
      <dgm:prSet presAssocID="{E0E28DCF-A5AB-4C9B-8D6E-5C57C3D6B80D}" presName="Name37" presStyleLbl="parChTrans1D3" presStyleIdx="0" presStyleCnt="12"/>
      <dgm:spPr/>
    </dgm:pt>
    <dgm:pt modelId="{E81F8071-148A-4763-8EFF-7359EBC8DE40}" type="pres">
      <dgm:prSet presAssocID="{728EF172-F1A2-4630-ACBD-09151A8D42E0}" presName="hierRoot2" presStyleCnt="0">
        <dgm:presLayoutVars>
          <dgm:hierBranch val="init"/>
        </dgm:presLayoutVars>
      </dgm:prSet>
      <dgm:spPr/>
    </dgm:pt>
    <dgm:pt modelId="{FDD95A59-FDE0-4E38-BD3F-1AEE9AAEC663}" type="pres">
      <dgm:prSet presAssocID="{728EF172-F1A2-4630-ACBD-09151A8D42E0}" presName="rootComposite" presStyleCnt="0"/>
      <dgm:spPr/>
    </dgm:pt>
    <dgm:pt modelId="{25CBE439-FF8E-48F7-B5EE-F025139ED159}" type="pres">
      <dgm:prSet presAssocID="{728EF172-F1A2-4630-ACBD-09151A8D42E0}" presName="rootText" presStyleLbl="node3" presStyleIdx="0" presStyleCnt="12" custScaleX="268674" custScaleY="162351">
        <dgm:presLayoutVars>
          <dgm:chPref val="3"/>
        </dgm:presLayoutVars>
      </dgm:prSet>
      <dgm:spPr>
        <a:xfrm>
          <a:off x="7004081" y="1165427"/>
          <a:ext cx="1756739" cy="439184"/>
        </a:xfrm>
        <a:prstGeom prst="roundRect">
          <a:avLst/>
        </a:prstGeom>
      </dgm:spPr>
    </dgm:pt>
    <dgm:pt modelId="{EA9065D7-9704-4C0A-8D0D-77EE2F0AF926}" type="pres">
      <dgm:prSet presAssocID="{728EF172-F1A2-4630-ACBD-09151A8D42E0}" presName="rootConnector" presStyleLbl="node3" presStyleIdx="0" presStyleCnt="12"/>
      <dgm:spPr/>
    </dgm:pt>
    <dgm:pt modelId="{D70D0C17-EA0F-4EA2-88B8-05912BDCDDF2}" type="pres">
      <dgm:prSet presAssocID="{728EF172-F1A2-4630-ACBD-09151A8D42E0}" presName="hierChild4" presStyleCnt="0"/>
      <dgm:spPr/>
    </dgm:pt>
    <dgm:pt modelId="{7580CB60-37C3-4922-B670-CB79D70669CB}" type="pres">
      <dgm:prSet presAssocID="{728EF172-F1A2-4630-ACBD-09151A8D42E0}" presName="hierChild5" presStyleCnt="0"/>
      <dgm:spPr/>
    </dgm:pt>
    <dgm:pt modelId="{0682577A-DD48-4F68-A560-24C92A32267A}" type="pres">
      <dgm:prSet presAssocID="{CA170EC8-BD45-473C-9A48-D8E4B862E170}" presName="Name37" presStyleLbl="parChTrans1D3" presStyleIdx="1" presStyleCnt="12"/>
      <dgm:spPr/>
    </dgm:pt>
    <dgm:pt modelId="{F807C59A-718A-4B6B-95A4-4DE71D9B58EF}" type="pres">
      <dgm:prSet presAssocID="{66822BD2-E0EA-4B23-8515-68CA5DAF36F2}" presName="hierRoot2" presStyleCnt="0">
        <dgm:presLayoutVars>
          <dgm:hierBranch val="init"/>
        </dgm:presLayoutVars>
      </dgm:prSet>
      <dgm:spPr/>
    </dgm:pt>
    <dgm:pt modelId="{CCA4A9ED-1E46-487D-A4EC-7A1E9512863F}" type="pres">
      <dgm:prSet presAssocID="{66822BD2-E0EA-4B23-8515-68CA5DAF36F2}" presName="rootComposite" presStyleCnt="0"/>
      <dgm:spPr/>
    </dgm:pt>
    <dgm:pt modelId="{340D405E-7980-48FF-92E8-4B1BA0904690}" type="pres">
      <dgm:prSet presAssocID="{66822BD2-E0EA-4B23-8515-68CA5DAF36F2}" presName="rootText" presStyleLbl="node3" presStyleIdx="1" presStyleCnt="12" custScaleX="268674" custScaleY="162351">
        <dgm:presLayoutVars>
          <dgm:chPref val="3"/>
        </dgm:presLayoutVars>
      </dgm:prSet>
      <dgm:spPr>
        <a:xfrm>
          <a:off x="7004081" y="1741922"/>
          <a:ext cx="1756739" cy="439184"/>
        </a:xfrm>
        <a:prstGeom prst="roundRect">
          <a:avLst/>
        </a:prstGeom>
      </dgm:spPr>
    </dgm:pt>
    <dgm:pt modelId="{8CF0BE38-64A4-48F7-91EA-1C5DF9DE28BA}" type="pres">
      <dgm:prSet presAssocID="{66822BD2-E0EA-4B23-8515-68CA5DAF36F2}" presName="rootConnector" presStyleLbl="node3" presStyleIdx="1" presStyleCnt="12"/>
      <dgm:spPr/>
    </dgm:pt>
    <dgm:pt modelId="{29A25B00-B975-4C02-86E5-474E22CEC8B6}" type="pres">
      <dgm:prSet presAssocID="{66822BD2-E0EA-4B23-8515-68CA5DAF36F2}" presName="hierChild4" presStyleCnt="0"/>
      <dgm:spPr/>
    </dgm:pt>
    <dgm:pt modelId="{61E0D8D8-696B-4694-AB78-FAF9F716517A}" type="pres">
      <dgm:prSet presAssocID="{66822BD2-E0EA-4B23-8515-68CA5DAF36F2}" presName="hierChild5" presStyleCnt="0"/>
      <dgm:spPr/>
    </dgm:pt>
    <dgm:pt modelId="{91D2895F-3E53-4BC7-9AB0-1076D1CBD59C}" type="pres">
      <dgm:prSet presAssocID="{ED054F05-DECF-448A-832E-B98612B081A1}" presName="hierChild5" presStyleCnt="0"/>
      <dgm:spPr/>
    </dgm:pt>
    <dgm:pt modelId="{0D136685-5600-4E30-BED0-84E704D24193}" type="pres">
      <dgm:prSet presAssocID="{474A8C66-2F0D-4397-874A-DDCABFDC54EB}" presName="Name37" presStyleLbl="parChTrans1D2" presStyleIdx="1" presStyleCnt="4"/>
      <dgm:spPr/>
    </dgm:pt>
    <dgm:pt modelId="{646878FC-A1C4-4169-97C2-0F25682FDB8A}" type="pres">
      <dgm:prSet presAssocID="{F69D1FAD-E8C8-4443-9C53-33D08E3DE8CE}" presName="hierRoot2" presStyleCnt="0">
        <dgm:presLayoutVars>
          <dgm:hierBranch val="init"/>
        </dgm:presLayoutVars>
      </dgm:prSet>
      <dgm:spPr/>
    </dgm:pt>
    <dgm:pt modelId="{B1B56372-9E70-4A18-ABC7-31AC6F3A3149}" type="pres">
      <dgm:prSet presAssocID="{F69D1FAD-E8C8-4443-9C53-33D08E3DE8CE}" presName="rootComposite" presStyleCnt="0"/>
      <dgm:spPr/>
    </dgm:pt>
    <dgm:pt modelId="{F929D97E-86BE-4488-B496-35906E1F9CAE}" type="pres">
      <dgm:prSet presAssocID="{F69D1FAD-E8C8-4443-9C53-33D08E3DE8CE}" presName="rootText" presStyleLbl="node2" presStyleIdx="1" presStyleCnt="4" custScaleX="310112" custScaleY="162351">
        <dgm:presLayoutVars>
          <dgm:chPref val="3"/>
        </dgm:presLayoutVars>
      </dgm:prSet>
      <dgm:spPr>
        <a:prstGeom prst="roundRect">
          <a:avLst/>
        </a:prstGeom>
      </dgm:spPr>
    </dgm:pt>
    <dgm:pt modelId="{B955BC7D-DAC9-4057-99DB-72B0147F93F2}" type="pres">
      <dgm:prSet presAssocID="{F69D1FAD-E8C8-4443-9C53-33D08E3DE8CE}" presName="rootConnector" presStyleLbl="node2" presStyleIdx="1" presStyleCnt="4"/>
      <dgm:spPr/>
    </dgm:pt>
    <dgm:pt modelId="{44A9F1B2-39FB-45A3-AB69-4CDFB5D6C1C0}" type="pres">
      <dgm:prSet presAssocID="{F69D1FAD-E8C8-4443-9C53-33D08E3DE8CE}" presName="hierChild4" presStyleCnt="0"/>
      <dgm:spPr/>
    </dgm:pt>
    <dgm:pt modelId="{3BF4E0A2-533F-46EF-B1EF-8466DEC47284}" type="pres">
      <dgm:prSet presAssocID="{7B0DE2BE-30B8-41A2-9742-9F7D501ABEE0}" presName="Name37" presStyleLbl="parChTrans1D3" presStyleIdx="2" presStyleCnt="12"/>
      <dgm:spPr/>
    </dgm:pt>
    <dgm:pt modelId="{DC2ABF01-CA2C-4A00-AEB8-54EB3DDBCB56}" type="pres">
      <dgm:prSet presAssocID="{4B850433-3650-48AA-859B-F06BE9D5D2A1}" presName="hierRoot2" presStyleCnt="0">
        <dgm:presLayoutVars>
          <dgm:hierBranch val="init"/>
        </dgm:presLayoutVars>
      </dgm:prSet>
      <dgm:spPr/>
    </dgm:pt>
    <dgm:pt modelId="{4DB6B53A-C791-4485-8973-ADD55BCD34BF}" type="pres">
      <dgm:prSet presAssocID="{4B850433-3650-48AA-859B-F06BE9D5D2A1}" presName="rootComposite" presStyleCnt="0"/>
      <dgm:spPr/>
    </dgm:pt>
    <dgm:pt modelId="{A53EE3FD-0868-455B-8BBA-76212B84AD2F}" type="pres">
      <dgm:prSet presAssocID="{4B850433-3650-48AA-859B-F06BE9D5D2A1}" presName="rootText" presStyleLbl="node3" presStyleIdx="2" presStyleCnt="12" custScaleX="268674" custScaleY="162351">
        <dgm:presLayoutVars>
          <dgm:chPref val="3"/>
        </dgm:presLayoutVars>
      </dgm:prSet>
      <dgm:spPr>
        <a:xfrm>
          <a:off x="4839087" y="1165427"/>
          <a:ext cx="1756739" cy="439184"/>
        </a:xfrm>
        <a:prstGeom prst="roundRect">
          <a:avLst/>
        </a:prstGeom>
      </dgm:spPr>
    </dgm:pt>
    <dgm:pt modelId="{C24ACD5D-4A90-452B-B807-DD2ACB3F82D7}" type="pres">
      <dgm:prSet presAssocID="{4B850433-3650-48AA-859B-F06BE9D5D2A1}" presName="rootConnector" presStyleLbl="node3" presStyleIdx="2" presStyleCnt="12"/>
      <dgm:spPr/>
    </dgm:pt>
    <dgm:pt modelId="{E04CFBD4-1794-4811-9482-8593FC119F23}" type="pres">
      <dgm:prSet presAssocID="{4B850433-3650-48AA-859B-F06BE9D5D2A1}" presName="hierChild4" presStyleCnt="0"/>
      <dgm:spPr/>
    </dgm:pt>
    <dgm:pt modelId="{78B4F3FE-F575-4231-B68B-11F8300430B1}" type="pres">
      <dgm:prSet presAssocID="{4B850433-3650-48AA-859B-F06BE9D5D2A1}" presName="hierChild5" presStyleCnt="0"/>
      <dgm:spPr/>
    </dgm:pt>
    <dgm:pt modelId="{FD2BD50E-D384-49FE-BB00-71E6AEEEE500}" type="pres">
      <dgm:prSet presAssocID="{A3C9C18B-9E10-4A65-87A8-C6D2F29C4622}" presName="Name37" presStyleLbl="parChTrans1D3" presStyleIdx="3" presStyleCnt="12"/>
      <dgm:spPr/>
    </dgm:pt>
    <dgm:pt modelId="{C2D4CFC6-EDEA-4994-85C4-82C320A7C677}" type="pres">
      <dgm:prSet presAssocID="{BAD477F3-63B5-42EE-B3B5-05689244E517}" presName="hierRoot2" presStyleCnt="0">
        <dgm:presLayoutVars>
          <dgm:hierBranch val="init"/>
        </dgm:presLayoutVars>
      </dgm:prSet>
      <dgm:spPr/>
    </dgm:pt>
    <dgm:pt modelId="{D088533D-A6D4-42DD-8549-CE6D6612641C}" type="pres">
      <dgm:prSet presAssocID="{BAD477F3-63B5-42EE-B3B5-05689244E517}" presName="rootComposite" presStyleCnt="0"/>
      <dgm:spPr/>
    </dgm:pt>
    <dgm:pt modelId="{1BB92FE5-CE5A-41FE-B673-C4A4F62BF5AB}" type="pres">
      <dgm:prSet presAssocID="{BAD477F3-63B5-42EE-B3B5-05689244E517}" presName="rootText" presStyleLbl="node3" presStyleIdx="3" presStyleCnt="12" custScaleX="268674" custScaleY="162351">
        <dgm:presLayoutVars>
          <dgm:chPref val="3"/>
        </dgm:presLayoutVars>
      </dgm:prSet>
      <dgm:spPr>
        <a:xfrm>
          <a:off x="4839087" y="1741922"/>
          <a:ext cx="1756739" cy="439184"/>
        </a:xfrm>
        <a:prstGeom prst="roundRect">
          <a:avLst/>
        </a:prstGeom>
      </dgm:spPr>
    </dgm:pt>
    <dgm:pt modelId="{C55C49B2-409B-4525-9D61-0D463E355467}" type="pres">
      <dgm:prSet presAssocID="{BAD477F3-63B5-42EE-B3B5-05689244E517}" presName="rootConnector" presStyleLbl="node3" presStyleIdx="3" presStyleCnt="12"/>
      <dgm:spPr/>
    </dgm:pt>
    <dgm:pt modelId="{01E9F9E7-41C4-4196-B067-4AA632BDE21D}" type="pres">
      <dgm:prSet presAssocID="{BAD477F3-63B5-42EE-B3B5-05689244E517}" presName="hierChild4" presStyleCnt="0"/>
      <dgm:spPr/>
    </dgm:pt>
    <dgm:pt modelId="{16BFCAC6-DC2E-45FA-B317-635DF3BD8F62}" type="pres">
      <dgm:prSet presAssocID="{BAD477F3-63B5-42EE-B3B5-05689244E517}" presName="hierChild5" presStyleCnt="0"/>
      <dgm:spPr/>
    </dgm:pt>
    <dgm:pt modelId="{FEA01142-F62E-4F09-955A-6EF0C7069331}" type="pres">
      <dgm:prSet presAssocID="{9190B60C-4242-4AB8-BE76-B364159818C9}" presName="Name37" presStyleLbl="parChTrans1D3" presStyleIdx="4" presStyleCnt="12"/>
      <dgm:spPr/>
    </dgm:pt>
    <dgm:pt modelId="{F53AEB9B-37A0-47A7-9844-7F512AC66904}" type="pres">
      <dgm:prSet presAssocID="{367DA472-A6B5-4A65-AA92-ABD67FD1CC00}" presName="hierRoot2" presStyleCnt="0">
        <dgm:presLayoutVars>
          <dgm:hierBranch val="init"/>
        </dgm:presLayoutVars>
      </dgm:prSet>
      <dgm:spPr/>
    </dgm:pt>
    <dgm:pt modelId="{5BDCB8CB-9218-4565-AD2A-723662D72680}" type="pres">
      <dgm:prSet presAssocID="{367DA472-A6B5-4A65-AA92-ABD67FD1CC00}" presName="rootComposite" presStyleCnt="0"/>
      <dgm:spPr/>
    </dgm:pt>
    <dgm:pt modelId="{B509DCB6-92BF-408D-9332-348533AC8AE4}" type="pres">
      <dgm:prSet presAssocID="{367DA472-A6B5-4A65-AA92-ABD67FD1CC00}" presName="rootText" presStyleLbl="node3" presStyleIdx="4" presStyleCnt="12" custScaleX="268674" custScaleY="162351">
        <dgm:presLayoutVars>
          <dgm:chPref val="3"/>
        </dgm:presLayoutVars>
      </dgm:prSet>
      <dgm:spPr>
        <a:xfrm>
          <a:off x="4839087" y="2318416"/>
          <a:ext cx="1756739" cy="439184"/>
        </a:xfrm>
        <a:prstGeom prst="roundRect">
          <a:avLst/>
        </a:prstGeom>
      </dgm:spPr>
    </dgm:pt>
    <dgm:pt modelId="{260E8905-E423-4F36-BAD2-9471CD368CFA}" type="pres">
      <dgm:prSet presAssocID="{367DA472-A6B5-4A65-AA92-ABD67FD1CC00}" presName="rootConnector" presStyleLbl="node3" presStyleIdx="4" presStyleCnt="12"/>
      <dgm:spPr/>
    </dgm:pt>
    <dgm:pt modelId="{5477AFEF-68F3-4E40-A383-B71021CC1C12}" type="pres">
      <dgm:prSet presAssocID="{367DA472-A6B5-4A65-AA92-ABD67FD1CC00}" presName="hierChild4" presStyleCnt="0"/>
      <dgm:spPr/>
    </dgm:pt>
    <dgm:pt modelId="{C9993A71-F16C-4C0F-90DE-5F6B5DE2D2C9}" type="pres">
      <dgm:prSet presAssocID="{367DA472-A6B5-4A65-AA92-ABD67FD1CC00}" presName="hierChild5" presStyleCnt="0"/>
      <dgm:spPr/>
    </dgm:pt>
    <dgm:pt modelId="{24437570-CAF3-40CD-AC31-3F36F640E640}" type="pres">
      <dgm:prSet presAssocID="{F69D1FAD-E8C8-4443-9C53-33D08E3DE8CE}" presName="hierChild5" presStyleCnt="0"/>
      <dgm:spPr/>
    </dgm:pt>
    <dgm:pt modelId="{F92DD1E1-B9A1-46FB-97E4-955B61300390}" type="pres">
      <dgm:prSet presAssocID="{DC323120-D202-4A8E-953D-322761F16AE2}" presName="Name37" presStyleLbl="parChTrans1D2" presStyleIdx="2" presStyleCnt="4"/>
      <dgm:spPr/>
    </dgm:pt>
    <dgm:pt modelId="{A9655281-1A11-48A7-A397-28B2365A7821}" type="pres">
      <dgm:prSet presAssocID="{1007B6F3-05BC-4F7A-8E1A-37C08373F646}" presName="hierRoot2" presStyleCnt="0">
        <dgm:presLayoutVars>
          <dgm:hierBranch val="init"/>
        </dgm:presLayoutVars>
      </dgm:prSet>
      <dgm:spPr/>
    </dgm:pt>
    <dgm:pt modelId="{16DF5A1D-F328-4D8F-9A64-679F012C89FD}" type="pres">
      <dgm:prSet presAssocID="{1007B6F3-05BC-4F7A-8E1A-37C08373F646}" presName="rootComposite" presStyleCnt="0"/>
      <dgm:spPr/>
    </dgm:pt>
    <dgm:pt modelId="{1BE2E877-A98C-4F5E-B162-7E381A985946}" type="pres">
      <dgm:prSet presAssocID="{1007B6F3-05BC-4F7A-8E1A-37C08373F646}" presName="rootText" presStyleLbl="node2" presStyleIdx="2" presStyleCnt="4" custScaleX="310112" custScaleY="162351">
        <dgm:presLayoutVars>
          <dgm:chPref val="3"/>
        </dgm:presLayoutVars>
      </dgm:prSet>
      <dgm:spPr>
        <a:prstGeom prst="roundRect">
          <a:avLst/>
        </a:prstGeom>
      </dgm:spPr>
    </dgm:pt>
    <dgm:pt modelId="{B971E225-D9F5-478B-8A95-DB5AA24C6662}" type="pres">
      <dgm:prSet presAssocID="{1007B6F3-05BC-4F7A-8E1A-37C08373F646}" presName="rootConnector" presStyleLbl="node2" presStyleIdx="2" presStyleCnt="4"/>
      <dgm:spPr/>
    </dgm:pt>
    <dgm:pt modelId="{68EA9830-A38B-4137-AD59-A7E86F6FAAA7}" type="pres">
      <dgm:prSet presAssocID="{1007B6F3-05BC-4F7A-8E1A-37C08373F646}" presName="hierChild4" presStyleCnt="0"/>
      <dgm:spPr/>
    </dgm:pt>
    <dgm:pt modelId="{FE6A734C-CD98-41BA-B25A-1C4D4AE8317A}" type="pres">
      <dgm:prSet presAssocID="{1768B429-B295-4E12-A4E5-2959760A26BB}" presName="Name37" presStyleLbl="parChTrans1D3" presStyleIdx="5" presStyleCnt="12"/>
      <dgm:spPr/>
    </dgm:pt>
    <dgm:pt modelId="{0CFBA51D-31D1-471A-9BC7-2CEB9D7C399F}" type="pres">
      <dgm:prSet presAssocID="{882B9642-DB5D-4415-8141-174046543928}" presName="hierRoot2" presStyleCnt="0">
        <dgm:presLayoutVars>
          <dgm:hierBranch val="init"/>
        </dgm:presLayoutVars>
      </dgm:prSet>
      <dgm:spPr/>
    </dgm:pt>
    <dgm:pt modelId="{0D15A8F0-925F-4930-A883-35E4E6551285}" type="pres">
      <dgm:prSet presAssocID="{882B9642-DB5D-4415-8141-174046543928}" presName="rootComposite" presStyleCnt="0"/>
      <dgm:spPr/>
    </dgm:pt>
    <dgm:pt modelId="{6A43EABD-03AA-415F-BE3A-2DD31AB048C5}" type="pres">
      <dgm:prSet presAssocID="{882B9642-DB5D-4415-8141-174046543928}" presName="rootText" presStyleLbl="node3" presStyleIdx="5" presStyleCnt="12" custScaleX="268674" custScaleY="162351">
        <dgm:presLayoutVars>
          <dgm:chPref val="3"/>
        </dgm:presLayoutVars>
      </dgm:prSet>
      <dgm:spPr>
        <a:xfrm>
          <a:off x="2674093" y="1165427"/>
          <a:ext cx="1756739" cy="439184"/>
        </a:xfrm>
        <a:prstGeom prst="roundRect">
          <a:avLst/>
        </a:prstGeom>
      </dgm:spPr>
    </dgm:pt>
    <dgm:pt modelId="{DECA7EAF-1BEF-41A3-ABB3-5EAA3BAAF462}" type="pres">
      <dgm:prSet presAssocID="{882B9642-DB5D-4415-8141-174046543928}" presName="rootConnector" presStyleLbl="node3" presStyleIdx="5" presStyleCnt="12"/>
      <dgm:spPr/>
    </dgm:pt>
    <dgm:pt modelId="{D85C8B7E-C5E4-4E2B-A51E-8DED9E096F4F}" type="pres">
      <dgm:prSet presAssocID="{882B9642-DB5D-4415-8141-174046543928}" presName="hierChild4" presStyleCnt="0"/>
      <dgm:spPr/>
    </dgm:pt>
    <dgm:pt modelId="{9A795A8B-98A0-4E3A-8C63-BBCD9EC7B428}" type="pres">
      <dgm:prSet presAssocID="{882B9642-DB5D-4415-8141-174046543928}" presName="hierChild5" presStyleCnt="0"/>
      <dgm:spPr/>
    </dgm:pt>
    <dgm:pt modelId="{D978C072-8E92-43C4-91B3-F3E661B7ABAC}" type="pres">
      <dgm:prSet presAssocID="{FA1804DE-9856-4A08-B6E3-E8E7C1EC73C0}" presName="Name37" presStyleLbl="parChTrans1D3" presStyleIdx="6" presStyleCnt="12"/>
      <dgm:spPr/>
    </dgm:pt>
    <dgm:pt modelId="{4BE219A9-D29C-4EF0-AD63-17317A4642BE}" type="pres">
      <dgm:prSet presAssocID="{8B0EAEC7-B4D5-4CF1-85E4-FC7CBAB245A6}" presName="hierRoot2" presStyleCnt="0">
        <dgm:presLayoutVars>
          <dgm:hierBranch val="init"/>
        </dgm:presLayoutVars>
      </dgm:prSet>
      <dgm:spPr/>
    </dgm:pt>
    <dgm:pt modelId="{33E3FF0E-3075-4C97-9AB8-B35A81D99026}" type="pres">
      <dgm:prSet presAssocID="{8B0EAEC7-B4D5-4CF1-85E4-FC7CBAB245A6}" presName="rootComposite" presStyleCnt="0"/>
      <dgm:spPr/>
    </dgm:pt>
    <dgm:pt modelId="{19B89C79-DE41-4F48-9743-7325556D13A7}" type="pres">
      <dgm:prSet presAssocID="{8B0EAEC7-B4D5-4CF1-85E4-FC7CBAB245A6}" presName="rootText" presStyleLbl="node3" presStyleIdx="6" presStyleCnt="12" custScaleX="268674" custScaleY="162351">
        <dgm:presLayoutVars>
          <dgm:chPref val="3"/>
        </dgm:presLayoutVars>
      </dgm:prSet>
      <dgm:spPr>
        <a:xfrm>
          <a:off x="2674093" y="1741922"/>
          <a:ext cx="1756739" cy="439184"/>
        </a:xfrm>
        <a:prstGeom prst="roundRect">
          <a:avLst/>
        </a:prstGeom>
      </dgm:spPr>
    </dgm:pt>
    <dgm:pt modelId="{135572E7-D0A9-47F1-B57C-3842E7D4BA7A}" type="pres">
      <dgm:prSet presAssocID="{8B0EAEC7-B4D5-4CF1-85E4-FC7CBAB245A6}" presName="rootConnector" presStyleLbl="node3" presStyleIdx="6" presStyleCnt="12"/>
      <dgm:spPr/>
    </dgm:pt>
    <dgm:pt modelId="{E0086AA6-9892-483C-8BF3-8DFA11CB0C89}" type="pres">
      <dgm:prSet presAssocID="{8B0EAEC7-B4D5-4CF1-85E4-FC7CBAB245A6}" presName="hierChild4" presStyleCnt="0"/>
      <dgm:spPr/>
    </dgm:pt>
    <dgm:pt modelId="{294FCD5E-48DF-44D1-87AD-8120DD61C071}" type="pres">
      <dgm:prSet presAssocID="{8B0EAEC7-B4D5-4CF1-85E4-FC7CBAB245A6}" presName="hierChild5" presStyleCnt="0"/>
      <dgm:spPr/>
    </dgm:pt>
    <dgm:pt modelId="{8E487ED1-854B-4A52-9737-AAF07A5B6561}" type="pres">
      <dgm:prSet presAssocID="{3DA5B83C-D6D6-4F7C-810E-D00E25F2DA99}" presName="Name37" presStyleLbl="parChTrans1D3" presStyleIdx="7" presStyleCnt="12"/>
      <dgm:spPr/>
    </dgm:pt>
    <dgm:pt modelId="{0EDA9EF3-F649-4B52-AB88-688C9B52ADAD}" type="pres">
      <dgm:prSet presAssocID="{0202D3B0-F039-4A45-9B54-52DE61CC6EBF}" presName="hierRoot2" presStyleCnt="0">
        <dgm:presLayoutVars>
          <dgm:hierBranch val="init"/>
        </dgm:presLayoutVars>
      </dgm:prSet>
      <dgm:spPr/>
    </dgm:pt>
    <dgm:pt modelId="{B6A5BF6A-F825-4E87-9BF1-F12F0E1A2824}" type="pres">
      <dgm:prSet presAssocID="{0202D3B0-F039-4A45-9B54-52DE61CC6EBF}" presName="rootComposite" presStyleCnt="0"/>
      <dgm:spPr/>
    </dgm:pt>
    <dgm:pt modelId="{0E67771F-D6B3-42E0-A4EC-8EA8EA99163C}" type="pres">
      <dgm:prSet presAssocID="{0202D3B0-F039-4A45-9B54-52DE61CC6EBF}" presName="rootText" presStyleLbl="node3" presStyleIdx="7" presStyleCnt="12" custScaleX="268674" custScaleY="162351">
        <dgm:presLayoutVars>
          <dgm:chPref val="3"/>
        </dgm:presLayoutVars>
      </dgm:prSet>
      <dgm:spPr>
        <a:xfrm>
          <a:off x="2674093" y="2318416"/>
          <a:ext cx="1756739" cy="439184"/>
        </a:xfrm>
        <a:prstGeom prst="roundRect">
          <a:avLst/>
        </a:prstGeom>
      </dgm:spPr>
    </dgm:pt>
    <dgm:pt modelId="{56227AB4-9AF1-4700-B97A-335834EB032E}" type="pres">
      <dgm:prSet presAssocID="{0202D3B0-F039-4A45-9B54-52DE61CC6EBF}" presName="rootConnector" presStyleLbl="node3" presStyleIdx="7" presStyleCnt="12"/>
      <dgm:spPr/>
    </dgm:pt>
    <dgm:pt modelId="{5913F22F-50C4-401C-9266-A98924DA7048}" type="pres">
      <dgm:prSet presAssocID="{0202D3B0-F039-4A45-9B54-52DE61CC6EBF}" presName="hierChild4" presStyleCnt="0"/>
      <dgm:spPr/>
    </dgm:pt>
    <dgm:pt modelId="{2A7854A4-11CB-4163-A81B-CB4274046604}" type="pres">
      <dgm:prSet presAssocID="{0202D3B0-F039-4A45-9B54-52DE61CC6EBF}" presName="hierChild5" presStyleCnt="0"/>
      <dgm:spPr/>
    </dgm:pt>
    <dgm:pt modelId="{63C2166A-9890-4765-B471-9CF5443E13E1}" type="pres">
      <dgm:prSet presAssocID="{C8E0B336-3FAE-49E2-9905-265ED6B873CF}" presName="Name37" presStyleLbl="parChTrans1D3" presStyleIdx="8" presStyleCnt="12"/>
      <dgm:spPr/>
    </dgm:pt>
    <dgm:pt modelId="{E8582E46-3F55-467E-A715-32016865D1A6}" type="pres">
      <dgm:prSet presAssocID="{329BF0EB-3F7B-441A-9E2A-5E7CF2910317}" presName="hierRoot2" presStyleCnt="0">
        <dgm:presLayoutVars>
          <dgm:hierBranch val="init"/>
        </dgm:presLayoutVars>
      </dgm:prSet>
      <dgm:spPr/>
    </dgm:pt>
    <dgm:pt modelId="{D6CEDB75-257A-4AF8-BABE-4C382AE4AAE2}" type="pres">
      <dgm:prSet presAssocID="{329BF0EB-3F7B-441A-9E2A-5E7CF2910317}" presName="rootComposite" presStyleCnt="0"/>
      <dgm:spPr/>
    </dgm:pt>
    <dgm:pt modelId="{B96902F1-B08B-497F-AE3F-EA9BCF9D174F}" type="pres">
      <dgm:prSet presAssocID="{329BF0EB-3F7B-441A-9E2A-5E7CF2910317}" presName="rootText" presStyleLbl="node3" presStyleIdx="8" presStyleCnt="12" custScaleX="268691" custScaleY="162351">
        <dgm:presLayoutVars>
          <dgm:chPref val="3"/>
        </dgm:presLayoutVars>
      </dgm:prSet>
      <dgm:spPr>
        <a:prstGeom prst="roundRect">
          <a:avLst/>
        </a:prstGeom>
      </dgm:spPr>
    </dgm:pt>
    <dgm:pt modelId="{6910BC06-9EDC-4625-A113-490214FE8F24}" type="pres">
      <dgm:prSet presAssocID="{329BF0EB-3F7B-441A-9E2A-5E7CF2910317}" presName="rootConnector" presStyleLbl="node3" presStyleIdx="8" presStyleCnt="12"/>
      <dgm:spPr/>
    </dgm:pt>
    <dgm:pt modelId="{3A02CFAF-BB77-4FC2-9CBF-3F2E760EFED6}" type="pres">
      <dgm:prSet presAssocID="{329BF0EB-3F7B-441A-9E2A-5E7CF2910317}" presName="hierChild4" presStyleCnt="0"/>
      <dgm:spPr/>
    </dgm:pt>
    <dgm:pt modelId="{3D61CB52-E620-4C56-864B-7E84E5E09C30}" type="pres">
      <dgm:prSet presAssocID="{329BF0EB-3F7B-441A-9E2A-5E7CF2910317}" presName="hierChild5" presStyleCnt="0"/>
      <dgm:spPr/>
    </dgm:pt>
    <dgm:pt modelId="{B9E18785-60C1-46A6-89DB-EFB0849FC9C4}" type="pres">
      <dgm:prSet presAssocID="{1007B6F3-05BC-4F7A-8E1A-37C08373F646}" presName="hierChild5" presStyleCnt="0"/>
      <dgm:spPr/>
    </dgm:pt>
    <dgm:pt modelId="{98DD77B9-6508-4827-9493-60FB472DE478}" type="pres">
      <dgm:prSet presAssocID="{E2EA3DBF-0B05-4BE9-80CF-CD8065633172}" presName="Name37" presStyleLbl="parChTrans1D2" presStyleIdx="3" presStyleCnt="4"/>
      <dgm:spPr/>
    </dgm:pt>
    <dgm:pt modelId="{1575CE88-5799-4DA5-9BC6-09897D82DF48}" type="pres">
      <dgm:prSet presAssocID="{A5AE3037-5CDE-48B1-980D-BF755907F721}" presName="hierRoot2" presStyleCnt="0">
        <dgm:presLayoutVars>
          <dgm:hierBranch val="init"/>
        </dgm:presLayoutVars>
      </dgm:prSet>
      <dgm:spPr/>
    </dgm:pt>
    <dgm:pt modelId="{F09DB981-3CD5-4201-8323-D09C948E8960}" type="pres">
      <dgm:prSet presAssocID="{A5AE3037-5CDE-48B1-980D-BF755907F721}" presName="rootComposite" presStyleCnt="0"/>
      <dgm:spPr/>
    </dgm:pt>
    <dgm:pt modelId="{42D1E0BE-354F-4E3C-8806-1977ECF66EA1}" type="pres">
      <dgm:prSet presAssocID="{A5AE3037-5CDE-48B1-980D-BF755907F721}" presName="rootText" presStyleLbl="node2" presStyleIdx="3" presStyleCnt="4" custScaleX="310112" custScaleY="162351">
        <dgm:presLayoutVars>
          <dgm:chPref val="3"/>
        </dgm:presLayoutVars>
      </dgm:prSet>
      <dgm:spPr>
        <a:prstGeom prst="roundRect">
          <a:avLst/>
        </a:prstGeom>
      </dgm:spPr>
    </dgm:pt>
    <dgm:pt modelId="{6280D6AE-52C6-48FA-A310-9B841171A626}" type="pres">
      <dgm:prSet presAssocID="{A5AE3037-5CDE-48B1-980D-BF755907F721}" presName="rootConnector" presStyleLbl="node2" presStyleIdx="3" presStyleCnt="4"/>
      <dgm:spPr/>
    </dgm:pt>
    <dgm:pt modelId="{E2551EF9-F6B8-4D10-ADCE-CA18AB6F6C19}" type="pres">
      <dgm:prSet presAssocID="{A5AE3037-5CDE-48B1-980D-BF755907F721}" presName="hierChild4" presStyleCnt="0"/>
      <dgm:spPr/>
    </dgm:pt>
    <dgm:pt modelId="{24BF0753-546B-46C2-86A1-B85748862C03}" type="pres">
      <dgm:prSet presAssocID="{3EE6172B-B803-440C-92DD-765D3BC6ACDB}" presName="Name37" presStyleLbl="parChTrans1D3" presStyleIdx="9" presStyleCnt="12"/>
      <dgm:spPr/>
    </dgm:pt>
    <dgm:pt modelId="{8697166C-E6C4-4FAC-9932-876C66AFF466}" type="pres">
      <dgm:prSet presAssocID="{F56A11B0-F829-4403-B03B-66574A081A1D}" presName="hierRoot2" presStyleCnt="0">
        <dgm:presLayoutVars>
          <dgm:hierBranch val="init"/>
        </dgm:presLayoutVars>
      </dgm:prSet>
      <dgm:spPr/>
    </dgm:pt>
    <dgm:pt modelId="{288D150C-2503-4F00-B391-0AABDF1A2B25}" type="pres">
      <dgm:prSet presAssocID="{F56A11B0-F829-4403-B03B-66574A081A1D}" presName="rootComposite" presStyleCnt="0"/>
      <dgm:spPr/>
    </dgm:pt>
    <dgm:pt modelId="{6D82EA0F-014F-47C5-883A-DB387EA6CDAE}" type="pres">
      <dgm:prSet presAssocID="{F56A11B0-F829-4403-B03B-66574A081A1D}" presName="rootText" presStyleLbl="node3" presStyleIdx="9" presStyleCnt="12" custScaleX="268674" custScaleY="162351">
        <dgm:presLayoutVars>
          <dgm:chPref val="3"/>
        </dgm:presLayoutVars>
      </dgm:prSet>
      <dgm:spPr>
        <a:prstGeom prst="roundRect">
          <a:avLst/>
        </a:prstGeom>
      </dgm:spPr>
    </dgm:pt>
    <dgm:pt modelId="{F512030C-FBC5-4D3B-A89E-F874314E7A02}" type="pres">
      <dgm:prSet presAssocID="{F56A11B0-F829-4403-B03B-66574A081A1D}" presName="rootConnector" presStyleLbl="node3" presStyleIdx="9" presStyleCnt="12"/>
      <dgm:spPr/>
    </dgm:pt>
    <dgm:pt modelId="{EEE75C39-9E08-4ACA-8276-F910AEA8229E}" type="pres">
      <dgm:prSet presAssocID="{F56A11B0-F829-4403-B03B-66574A081A1D}" presName="hierChild4" presStyleCnt="0"/>
      <dgm:spPr/>
    </dgm:pt>
    <dgm:pt modelId="{FC544A9F-2494-4136-ADB2-6C417971A872}" type="pres">
      <dgm:prSet presAssocID="{F56A11B0-F829-4403-B03B-66574A081A1D}" presName="hierChild5" presStyleCnt="0"/>
      <dgm:spPr/>
    </dgm:pt>
    <dgm:pt modelId="{E3C07E89-C63D-4449-9138-B5EE3042C7A8}" type="pres">
      <dgm:prSet presAssocID="{4ECF0464-F6E6-4CE3-8866-0ED853614CC9}" presName="Name37" presStyleLbl="parChTrans1D3" presStyleIdx="10" presStyleCnt="12"/>
      <dgm:spPr/>
    </dgm:pt>
    <dgm:pt modelId="{21231F1F-CAD0-4EB2-A434-8F3A9A0C0BD5}" type="pres">
      <dgm:prSet presAssocID="{2FFF8319-69F4-486B-882F-5B37384F1260}" presName="hierRoot2" presStyleCnt="0">
        <dgm:presLayoutVars>
          <dgm:hierBranch val="init"/>
        </dgm:presLayoutVars>
      </dgm:prSet>
      <dgm:spPr/>
    </dgm:pt>
    <dgm:pt modelId="{875569A0-C5C9-4FF7-87B8-70C23F8F6DD7}" type="pres">
      <dgm:prSet presAssocID="{2FFF8319-69F4-486B-882F-5B37384F1260}" presName="rootComposite" presStyleCnt="0"/>
      <dgm:spPr/>
    </dgm:pt>
    <dgm:pt modelId="{16466F66-21BE-440C-AFE1-27401EFCD165}" type="pres">
      <dgm:prSet presAssocID="{2FFF8319-69F4-486B-882F-5B37384F1260}" presName="rootText" presStyleLbl="node3" presStyleIdx="10" presStyleCnt="12" custScaleX="268674" custScaleY="162351" custLinFactNeighborX="2150">
        <dgm:presLayoutVars>
          <dgm:chPref val="3"/>
        </dgm:presLayoutVars>
      </dgm:prSet>
      <dgm:spPr>
        <a:xfrm>
          <a:off x="523157" y="1741922"/>
          <a:ext cx="1756739" cy="439184"/>
        </a:xfrm>
        <a:prstGeom prst="roundRect">
          <a:avLst/>
        </a:prstGeom>
      </dgm:spPr>
    </dgm:pt>
    <dgm:pt modelId="{D53A79D7-A77E-459E-B55D-EB99EE7432DA}" type="pres">
      <dgm:prSet presAssocID="{2FFF8319-69F4-486B-882F-5B37384F1260}" presName="rootConnector" presStyleLbl="node3" presStyleIdx="10" presStyleCnt="12"/>
      <dgm:spPr/>
    </dgm:pt>
    <dgm:pt modelId="{BC9CDFBC-A3BD-4452-8253-FC21870E061E}" type="pres">
      <dgm:prSet presAssocID="{2FFF8319-69F4-486B-882F-5B37384F1260}" presName="hierChild4" presStyleCnt="0"/>
      <dgm:spPr/>
    </dgm:pt>
    <dgm:pt modelId="{72FF905A-11BA-41AD-B5F5-3E7D0248EAC5}" type="pres">
      <dgm:prSet presAssocID="{2FFF8319-69F4-486B-882F-5B37384F1260}" presName="hierChild5" presStyleCnt="0"/>
      <dgm:spPr/>
    </dgm:pt>
    <dgm:pt modelId="{A87082C9-45F3-410C-83B8-8C1C4E93FA1C}" type="pres">
      <dgm:prSet presAssocID="{A716377B-5CE5-4BB0-887C-C66ADEDEFCD0}" presName="Name37" presStyleLbl="parChTrans1D3" presStyleIdx="11" presStyleCnt="12"/>
      <dgm:spPr/>
    </dgm:pt>
    <dgm:pt modelId="{5829CBEC-FF79-45A1-A645-BDDC9CDFC4C1}" type="pres">
      <dgm:prSet presAssocID="{5CAD7F8E-2D4B-494E-A9B3-8662F2F1C876}" presName="hierRoot2" presStyleCnt="0">
        <dgm:presLayoutVars>
          <dgm:hierBranch val="init"/>
        </dgm:presLayoutVars>
      </dgm:prSet>
      <dgm:spPr/>
    </dgm:pt>
    <dgm:pt modelId="{3385CAAA-3FDB-49A4-A502-B8C3537CDCA1}" type="pres">
      <dgm:prSet presAssocID="{5CAD7F8E-2D4B-494E-A9B3-8662F2F1C876}" presName="rootComposite" presStyleCnt="0"/>
      <dgm:spPr/>
    </dgm:pt>
    <dgm:pt modelId="{2841514A-A0DB-45C8-A350-781612C53CB7}" type="pres">
      <dgm:prSet presAssocID="{5CAD7F8E-2D4B-494E-A9B3-8662F2F1C876}" presName="rootText" presStyleLbl="node3" presStyleIdx="11" presStyleCnt="12" custScaleX="268674" custScaleY="162351">
        <dgm:presLayoutVars>
          <dgm:chPref val="3"/>
        </dgm:presLayoutVars>
      </dgm:prSet>
      <dgm:spPr>
        <a:xfrm>
          <a:off x="509100" y="2318416"/>
          <a:ext cx="1756739" cy="439184"/>
        </a:xfrm>
        <a:prstGeom prst="roundRect">
          <a:avLst/>
        </a:prstGeom>
      </dgm:spPr>
    </dgm:pt>
    <dgm:pt modelId="{669661FF-25DD-4243-AB62-68FDBEE0DB7C}" type="pres">
      <dgm:prSet presAssocID="{5CAD7F8E-2D4B-494E-A9B3-8662F2F1C876}" presName="rootConnector" presStyleLbl="node3" presStyleIdx="11" presStyleCnt="12"/>
      <dgm:spPr/>
    </dgm:pt>
    <dgm:pt modelId="{67183722-17A1-4727-AAA6-0A14AB58ED05}" type="pres">
      <dgm:prSet presAssocID="{5CAD7F8E-2D4B-494E-A9B3-8662F2F1C876}" presName="hierChild4" presStyleCnt="0"/>
      <dgm:spPr/>
    </dgm:pt>
    <dgm:pt modelId="{10FEBB28-75D6-4A28-A5E8-76720F8194DB}" type="pres">
      <dgm:prSet presAssocID="{5CAD7F8E-2D4B-494E-A9B3-8662F2F1C876}" presName="hierChild5" presStyleCnt="0"/>
      <dgm:spPr/>
    </dgm:pt>
    <dgm:pt modelId="{0BA468DC-1E4F-47B6-834D-E8FC08A235B4}" type="pres">
      <dgm:prSet presAssocID="{A5AE3037-5CDE-48B1-980D-BF755907F721}" presName="hierChild5" presStyleCnt="0"/>
      <dgm:spPr/>
    </dgm:pt>
    <dgm:pt modelId="{3ABEBA5C-E863-4AB9-8F74-BB798A86922E}" type="pres">
      <dgm:prSet presAssocID="{3D4AA21C-8618-4D88-ADD2-82497DC1C3C8}" presName="hierChild3" presStyleCnt="0"/>
      <dgm:spPr/>
    </dgm:pt>
  </dgm:ptLst>
  <dgm:cxnLst>
    <dgm:cxn modelId="{6ED3C603-97B0-4752-B216-DC9E87E399A5}" srcId="{1007B6F3-05BC-4F7A-8E1A-37C08373F646}" destId="{8B0EAEC7-B4D5-4CF1-85E4-FC7CBAB245A6}" srcOrd="1" destOrd="0" parTransId="{FA1804DE-9856-4A08-B6E3-E8E7C1EC73C0}" sibTransId="{00DA78FB-7979-4ADC-A1E7-89CD20DF37F4}"/>
    <dgm:cxn modelId="{E9D38808-3583-4AC7-94D8-DCE2341F1AD3}" type="presOf" srcId="{4B850433-3650-48AA-859B-F06BE9D5D2A1}" destId="{A53EE3FD-0868-455B-8BBA-76212B84AD2F}" srcOrd="0" destOrd="0" presId="urn:microsoft.com/office/officeart/2005/8/layout/orgChart1"/>
    <dgm:cxn modelId="{426D991C-BC7B-4286-A3EF-54B92D418A56}" srcId="{3D4AA21C-8618-4D88-ADD2-82497DC1C3C8}" destId="{ED054F05-DECF-448A-832E-B98612B081A1}" srcOrd="0" destOrd="0" parTransId="{759A86B6-2F79-4936-8581-07D0B45049CD}" sibTransId="{5E0090F4-BA9F-4822-A5B4-2C1E9396E774}"/>
    <dgm:cxn modelId="{2A34B621-429B-41E7-8116-28E63095749A}" srcId="{A5AE3037-5CDE-48B1-980D-BF755907F721}" destId="{5CAD7F8E-2D4B-494E-A9B3-8662F2F1C876}" srcOrd="2" destOrd="0" parTransId="{A716377B-5CE5-4BB0-887C-C66ADEDEFCD0}" sibTransId="{393E730C-51B3-4EB3-A4BB-C31B5045F139}"/>
    <dgm:cxn modelId="{4A8E1023-6D6C-42B7-A90A-4F9ECDE12F8E}" type="presOf" srcId="{3D4AA21C-8618-4D88-ADD2-82497DC1C3C8}" destId="{02ACD5D0-6C9D-484A-BD23-29ABC006DAEA}" srcOrd="1" destOrd="0" presId="urn:microsoft.com/office/officeart/2005/8/layout/orgChart1"/>
    <dgm:cxn modelId="{9B2D7A24-DB78-4C8D-88B7-D2C0CE2B8877}" srcId="{F69D1FAD-E8C8-4443-9C53-33D08E3DE8CE}" destId="{BAD477F3-63B5-42EE-B3B5-05689244E517}" srcOrd="1" destOrd="0" parTransId="{A3C9C18B-9E10-4A65-87A8-C6D2F29C4622}" sibTransId="{81F2F3B1-1E4B-4A1D-937B-28A35B243ECF}"/>
    <dgm:cxn modelId="{7ED31B26-FD6C-43A9-AF1B-DEA0F9DC253F}" type="presOf" srcId="{4ECF0464-F6E6-4CE3-8866-0ED853614CC9}" destId="{E3C07E89-C63D-4449-9138-B5EE3042C7A8}" srcOrd="0" destOrd="0" presId="urn:microsoft.com/office/officeart/2005/8/layout/orgChart1"/>
    <dgm:cxn modelId="{7320372D-2299-42A2-AAE6-D4AC32582DD0}" type="presOf" srcId="{9190B60C-4242-4AB8-BE76-B364159818C9}" destId="{FEA01142-F62E-4F09-955A-6EF0C7069331}" srcOrd="0" destOrd="0" presId="urn:microsoft.com/office/officeart/2005/8/layout/orgChart1"/>
    <dgm:cxn modelId="{1CBE6334-1098-4908-9DC0-D44CCF0AC61A}" type="presOf" srcId="{F69D1FAD-E8C8-4443-9C53-33D08E3DE8CE}" destId="{F929D97E-86BE-4488-B496-35906E1F9CAE}" srcOrd="0" destOrd="0" presId="urn:microsoft.com/office/officeart/2005/8/layout/orgChart1"/>
    <dgm:cxn modelId="{96396036-B807-40EE-BEB7-A59A8D1E403E}" type="presOf" srcId="{367DA472-A6B5-4A65-AA92-ABD67FD1CC00}" destId="{260E8905-E423-4F36-BAD2-9471CD368CFA}" srcOrd="1" destOrd="0" presId="urn:microsoft.com/office/officeart/2005/8/layout/orgChart1"/>
    <dgm:cxn modelId="{29D04F36-00AD-4666-8B37-8150640A0E9C}" type="presOf" srcId="{1007B6F3-05BC-4F7A-8E1A-37C08373F646}" destId="{1BE2E877-A98C-4F5E-B162-7E381A985946}" srcOrd="0" destOrd="0" presId="urn:microsoft.com/office/officeart/2005/8/layout/orgChart1"/>
    <dgm:cxn modelId="{210C4137-2823-4964-866F-1EEEA55069F7}" type="presOf" srcId="{CA170EC8-BD45-473C-9A48-D8E4B862E170}" destId="{0682577A-DD48-4F68-A560-24C92A32267A}" srcOrd="0" destOrd="0" presId="urn:microsoft.com/office/officeart/2005/8/layout/orgChart1"/>
    <dgm:cxn modelId="{26605C5C-A08A-4D3B-9EF4-1EF5D2E82EA9}" type="presOf" srcId="{329BF0EB-3F7B-441A-9E2A-5E7CF2910317}" destId="{6910BC06-9EDC-4625-A113-490214FE8F24}" srcOrd="1" destOrd="0" presId="urn:microsoft.com/office/officeart/2005/8/layout/orgChart1"/>
    <dgm:cxn modelId="{26DEAC5E-0C13-4E69-A30D-ED9D32EE8801}" type="presOf" srcId="{7B0DE2BE-30B8-41A2-9742-9F7D501ABEE0}" destId="{3BF4E0A2-533F-46EF-B1EF-8466DEC47284}" srcOrd="0" destOrd="0" presId="urn:microsoft.com/office/officeart/2005/8/layout/orgChart1"/>
    <dgm:cxn modelId="{CFCB7A42-AF82-45F9-9001-D0C2BA0C1D68}" srcId="{F69D1FAD-E8C8-4443-9C53-33D08E3DE8CE}" destId="{367DA472-A6B5-4A65-AA92-ABD67FD1CC00}" srcOrd="2" destOrd="0" parTransId="{9190B60C-4242-4AB8-BE76-B364159818C9}" sibTransId="{15DB7952-266A-46BB-A9FF-6186DD342E36}"/>
    <dgm:cxn modelId="{F2F34F63-618D-45C9-B401-63C17A56D86A}" type="presOf" srcId="{A5AE3037-5CDE-48B1-980D-BF755907F721}" destId="{6280D6AE-52C6-48FA-A310-9B841171A626}" srcOrd="1" destOrd="0" presId="urn:microsoft.com/office/officeart/2005/8/layout/orgChart1"/>
    <dgm:cxn modelId="{948DAD65-8800-4BAF-BF14-8A78F10B2BD3}" type="presOf" srcId="{E2EA3DBF-0B05-4BE9-80CF-CD8065633172}" destId="{98DD77B9-6508-4827-9493-60FB472DE478}" srcOrd="0" destOrd="0" presId="urn:microsoft.com/office/officeart/2005/8/layout/orgChart1"/>
    <dgm:cxn modelId="{9462EE48-C752-4738-8121-7C5F5D8E3EA9}" srcId="{1007B6F3-05BC-4F7A-8E1A-37C08373F646}" destId="{0202D3B0-F039-4A45-9B54-52DE61CC6EBF}" srcOrd="2" destOrd="0" parTransId="{3DA5B83C-D6D6-4F7C-810E-D00E25F2DA99}" sibTransId="{B9F88689-25EB-4604-9BE4-089FAC838E94}"/>
    <dgm:cxn modelId="{E7C2E66B-CE08-4FEE-A28C-540C6C8FC397}" type="presOf" srcId="{2FFF8319-69F4-486B-882F-5B37384F1260}" destId="{D53A79D7-A77E-459E-B55D-EB99EE7432DA}" srcOrd="1" destOrd="0" presId="urn:microsoft.com/office/officeart/2005/8/layout/orgChart1"/>
    <dgm:cxn modelId="{2D97236C-93D0-4B2B-98C5-2B3FB3672C34}" type="presOf" srcId="{728EF172-F1A2-4630-ACBD-09151A8D42E0}" destId="{25CBE439-FF8E-48F7-B5EE-F025139ED159}" srcOrd="0" destOrd="0" presId="urn:microsoft.com/office/officeart/2005/8/layout/orgChart1"/>
    <dgm:cxn modelId="{3D9B994D-09D5-4541-B6B6-13EDBE9836A3}" type="presOf" srcId="{BAD477F3-63B5-42EE-B3B5-05689244E517}" destId="{C55C49B2-409B-4525-9D61-0D463E355467}" srcOrd="1" destOrd="0" presId="urn:microsoft.com/office/officeart/2005/8/layout/orgChart1"/>
    <dgm:cxn modelId="{96891350-3074-4769-9788-8678E3C8E33F}" type="presOf" srcId="{2FFF8319-69F4-486B-882F-5B37384F1260}" destId="{16466F66-21BE-440C-AFE1-27401EFCD165}" srcOrd="0" destOrd="0" presId="urn:microsoft.com/office/officeart/2005/8/layout/orgChart1"/>
    <dgm:cxn modelId="{BAD53C50-C9DA-4A7A-A5A1-9D77343DF891}" type="presOf" srcId="{3D4AA21C-8618-4D88-ADD2-82497DC1C3C8}" destId="{C9906B2A-6D0D-4B97-86E9-67AB72BB51C3}" srcOrd="0" destOrd="0" presId="urn:microsoft.com/office/officeart/2005/8/layout/orgChart1"/>
    <dgm:cxn modelId="{AA508370-EA07-4CE0-BA90-07ACFE68CBB5}" type="presOf" srcId="{1768B429-B295-4E12-A4E5-2959760A26BB}" destId="{FE6A734C-CD98-41BA-B25A-1C4D4AE8317A}" srcOrd="0" destOrd="0" presId="urn:microsoft.com/office/officeart/2005/8/layout/orgChart1"/>
    <dgm:cxn modelId="{348ADE71-4DE7-4FC4-8AD4-2C3B295510A4}" srcId="{A5AE3037-5CDE-48B1-980D-BF755907F721}" destId="{F56A11B0-F829-4403-B03B-66574A081A1D}" srcOrd="0" destOrd="0" parTransId="{3EE6172B-B803-440C-92DD-765D3BC6ACDB}" sibTransId="{1795EB77-CC6C-4AC9-AEB9-E8649F4A642D}"/>
    <dgm:cxn modelId="{24D34852-05BF-409D-B19D-0B38265D65A5}" type="presOf" srcId="{728EF172-F1A2-4630-ACBD-09151A8D42E0}" destId="{EA9065D7-9704-4C0A-8D0D-77EE2F0AF926}" srcOrd="1" destOrd="0" presId="urn:microsoft.com/office/officeart/2005/8/layout/orgChart1"/>
    <dgm:cxn modelId="{8096CE52-9F24-4A23-974E-7CF46CCC390C}" type="presOf" srcId="{66822BD2-E0EA-4B23-8515-68CA5DAF36F2}" destId="{340D405E-7980-48FF-92E8-4B1BA0904690}" srcOrd="0" destOrd="0" presId="urn:microsoft.com/office/officeart/2005/8/layout/orgChart1"/>
    <dgm:cxn modelId="{5E97D352-E701-45B2-AC47-7FC0773CA41F}" srcId="{F69D1FAD-E8C8-4443-9C53-33D08E3DE8CE}" destId="{4B850433-3650-48AA-859B-F06BE9D5D2A1}" srcOrd="0" destOrd="0" parTransId="{7B0DE2BE-30B8-41A2-9742-9F7D501ABEE0}" sibTransId="{10704553-64AA-4B37-B0EC-C2F455ECB4C5}"/>
    <dgm:cxn modelId="{26035A75-A7B8-481A-9B7C-A1DD774E82AB}" srcId="{1007B6F3-05BC-4F7A-8E1A-37C08373F646}" destId="{882B9642-DB5D-4415-8141-174046543928}" srcOrd="0" destOrd="0" parTransId="{1768B429-B295-4E12-A4E5-2959760A26BB}" sibTransId="{CEF1BA8D-8962-4916-A848-7A69DE1F430D}"/>
    <dgm:cxn modelId="{89BEC355-8991-4300-8EFB-36DF54E59951}" type="presOf" srcId="{882B9642-DB5D-4415-8141-174046543928}" destId="{DECA7EAF-1BEF-41A3-ABB3-5EAA3BAAF462}" srcOrd="1" destOrd="0" presId="urn:microsoft.com/office/officeart/2005/8/layout/orgChart1"/>
    <dgm:cxn modelId="{E9DAFD75-46F0-43D3-B120-2E91B8814327}" type="presOf" srcId="{0202D3B0-F039-4A45-9B54-52DE61CC6EBF}" destId="{56227AB4-9AF1-4700-B97A-335834EB032E}" srcOrd="1" destOrd="0" presId="urn:microsoft.com/office/officeart/2005/8/layout/orgChart1"/>
    <dgm:cxn modelId="{37794576-5B61-492D-8958-5A8B1166B718}" type="presOf" srcId="{5CAD7F8E-2D4B-494E-A9B3-8662F2F1C876}" destId="{669661FF-25DD-4243-AB62-68FDBEE0DB7C}" srcOrd="1" destOrd="0" presId="urn:microsoft.com/office/officeart/2005/8/layout/orgChart1"/>
    <dgm:cxn modelId="{24EE0878-EEC0-4D50-8F2C-61AFC24640D1}" type="presOf" srcId="{DC323120-D202-4A8E-953D-322761F16AE2}" destId="{F92DD1E1-B9A1-46FB-97E4-955B61300390}" srcOrd="0" destOrd="0" presId="urn:microsoft.com/office/officeart/2005/8/layout/orgChart1"/>
    <dgm:cxn modelId="{05A5BF7B-B0CB-421A-B5D6-1A7D894321B5}" type="presOf" srcId="{ED054F05-DECF-448A-832E-B98612B081A1}" destId="{93AA080D-57AE-4E81-958D-F9A1D38E6CF3}" srcOrd="1" destOrd="0" presId="urn:microsoft.com/office/officeart/2005/8/layout/orgChart1"/>
    <dgm:cxn modelId="{0096357D-D354-483A-8792-3DD52E0A2D8C}" type="presOf" srcId="{329BF0EB-3F7B-441A-9E2A-5E7CF2910317}" destId="{B96902F1-B08B-497F-AE3F-EA9BCF9D174F}" srcOrd="0" destOrd="0" presId="urn:microsoft.com/office/officeart/2005/8/layout/orgChart1"/>
    <dgm:cxn modelId="{89F66583-C465-4ADE-B9D1-782A3AEDBDC4}" type="presOf" srcId="{FA1804DE-9856-4A08-B6E3-E8E7C1EC73C0}" destId="{D978C072-8E92-43C4-91B3-F3E661B7ABAC}" srcOrd="0" destOrd="0" presId="urn:microsoft.com/office/officeart/2005/8/layout/orgChart1"/>
    <dgm:cxn modelId="{9895BC84-2D79-4447-803C-AE449A41D0C7}" type="presOf" srcId="{367DA472-A6B5-4A65-AA92-ABD67FD1CC00}" destId="{B509DCB6-92BF-408D-9332-348533AC8AE4}" srcOrd="0" destOrd="0" presId="urn:microsoft.com/office/officeart/2005/8/layout/orgChart1"/>
    <dgm:cxn modelId="{899EED84-987F-4A86-8C03-E11F344EB656}" srcId="{1007B6F3-05BC-4F7A-8E1A-37C08373F646}" destId="{329BF0EB-3F7B-441A-9E2A-5E7CF2910317}" srcOrd="3" destOrd="0" parTransId="{C8E0B336-3FAE-49E2-9905-265ED6B873CF}" sibTransId="{E5DC9C0C-7D86-4A18-8F33-99A9CDAAD94D}"/>
    <dgm:cxn modelId="{3CD4ED87-4B23-454A-B1F4-04A6457B5CC3}" type="presOf" srcId="{A3C9C18B-9E10-4A65-87A8-C6D2F29C4622}" destId="{FD2BD50E-D384-49FE-BB00-71E6AEEEE500}" srcOrd="0" destOrd="0" presId="urn:microsoft.com/office/officeart/2005/8/layout/orgChart1"/>
    <dgm:cxn modelId="{FCB5A58B-E24A-469E-A23E-5C47ED6D1DBE}" srcId="{ED054F05-DECF-448A-832E-B98612B081A1}" destId="{66822BD2-E0EA-4B23-8515-68CA5DAF36F2}" srcOrd="1" destOrd="0" parTransId="{CA170EC8-BD45-473C-9A48-D8E4B862E170}" sibTransId="{9E76F400-F081-40C5-B061-15C7F717FAD8}"/>
    <dgm:cxn modelId="{42138A95-995B-473F-85DB-6FDB98B07F00}" type="presOf" srcId="{882B9642-DB5D-4415-8141-174046543928}" destId="{6A43EABD-03AA-415F-BE3A-2DD31AB048C5}" srcOrd="0" destOrd="0" presId="urn:microsoft.com/office/officeart/2005/8/layout/orgChart1"/>
    <dgm:cxn modelId="{4649A595-B531-4894-A15B-724C793330F7}" type="presOf" srcId="{8B0EAEC7-B4D5-4CF1-85E4-FC7CBAB245A6}" destId="{135572E7-D0A9-47F1-B57C-3842E7D4BA7A}" srcOrd="1" destOrd="0" presId="urn:microsoft.com/office/officeart/2005/8/layout/orgChart1"/>
    <dgm:cxn modelId="{D1C1AF97-1DA0-4593-A6E5-6595CC33162A}" type="presOf" srcId="{3EE6172B-B803-440C-92DD-765D3BC6ACDB}" destId="{24BF0753-546B-46C2-86A1-B85748862C03}" srcOrd="0" destOrd="0" presId="urn:microsoft.com/office/officeart/2005/8/layout/orgChart1"/>
    <dgm:cxn modelId="{A7DF06A9-113B-43BC-8405-D0049190601A}" type="presOf" srcId="{8B0EAEC7-B4D5-4CF1-85E4-FC7CBAB245A6}" destId="{19B89C79-DE41-4F48-9743-7325556D13A7}" srcOrd="0" destOrd="0" presId="urn:microsoft.com/office/officeart/2005/8/layout/orgChart1"/>
    <dgm:cxn modelId="{C87C6EA9-CB9D-4506-97C5-EC54FE1DA207}" type="presOf" srcId="{66822BD2-E0EA-4B23-8515-68CA5DAF36F2}" destId="{8CF0BE38-64A4-48F7-91EA-1C5DF9DE28BA}" srcOrd="1" destOrd="0" presId="urn:microsoft.com/office/officeart/2005/8/layout/orgChart1"/>
    <dgm:cxn modelId="{9DC0E6AB-1E91-482C-8B0D-7CD9D43C2B1F}" type="presOf" srcId="{F56A11B0-F829-4403-B03B-66574A081A1D}" destId="{6D82EA0F-014F-47C5-883A-DB387EA6CDAE}" srcOrd="0" destOrd="0" presId="urn:microsoft.com/office/officeart/2005/8/layout/orgChart1"/>
    <dgm:cxn modelId="{2B0A51AE-89D1-4630-89A6-8EDEB5F35DD7}" type="presOf" srcId="{5CAD7F8E-2D4B-494E-A9B3-8662F2F1C876}" destId="{2841514A-A0DB-45C8-A350-781612C53CB7}" srcOrd="0" destOrd="0" presId="urn:microsoft.com/office/officeart/2005/8/layout/orgChart1"/>
    <dgm:cxn modelId="{D75AC4B0-3472-4BD3-9759-4A2F23BF781A}" type="presOf" srcId="{BAD477F3-63B5-42EE-B3B5-05689244E517}" destId="{1BB92FE5-CE5A-41FE-B673-C4A4F62BF5AB}" srcOrd="0" destOrd="0" presId="urn:microsoft.com/office/officeart/2005/8/layout/orgChart1"/>
    <dgm:cxn modelId="{4A9D80B2-A778-4F3C-BF32-893B6F3B935A}" srcId="{A5AE3037-5CDE-48B1-980D-BF755907F721}" destId="{2FFF8319-69F4-486B-882F-5B37384F1260}" srcOrd="1" destOrd="0" parTransId="{4ECF0464-F6E6-4CE3-8866-0ED853614CC9}" sibTransId="{9D29A0EC-B56A-4231-9A14-54A739D4E7C0}"/>
    <dgm:cxn modelId="{E12D52B8-7AF8-41E4-8169-4569F54348E5}" srcId="{3D4AA21C-8618-4D88-ADD2-82497DC1C3C8}" destId="{A5AE3037-5CDE-48B1-980D-BF755907F721}" srcOrd="3" destOrd="0" parTransId="{E2EA3DBF-0B05-4BE9-80CF-CD8065633172}" sibTransId="{4B6C03A1-DC02-49AD-83B0-4E4E3C4E4627}"/>
    <dgm:cxn modelId="{F56F7FBB-D02E-4B82-A727-8F1A3DE0EADA}" srcId="{3D4AA21C-8618-4D88-ADD2-82497DC1C3C8}" destId="{F69D1FAD-E8C8-4443-9C53-33D08E3DE8CE}" srcOrd="1" destOrd="0" parTransId="{474A8C66-2F0D-4397-874A-DDCABFDC54EB}" sibTransId="{F2361F06-5F23-4E4E-93B2-3A55630A94F3}"/>
    <dgm:cxn modelId="{BD0369C4-7C56-42D0-82BE-553E90A6942F}" type="presOf" srcId="{A716377B-5CE5-4BB0-887C-C66ADEDEFCD0}" destId="{A87082C9-45F3-410C-83B8-8C1C4E93FA1C}" srcOrd="0" destOrd="0" presId="urn:microsoft.com/office/officeart/2005/8/layout/orgChart1"/>
    <dgm:cxn modelId="{D2CAB8CD-8F79-492C-81E0-653BAA6B034D}" type="presOf" srcId="{F69D1FAD-E8C8-4443-9C53-33D08E3DE8CE}" destId="{B955BC7D-DAC9-4057-99DB-72B0147F93F2}" srcOrd="1" destOrd="0" presId="urn:microsoft.com/office/officeart/2005/8/layout/orgChart1"/>
    <dgm:cxn modelId="{A2F92ECE-BA7E-4DB4-A58A-B14E14E90C5A}" type="presOf" srcId="{3DA5B83C-D6D6-4F7C-810E-D00E25F2DA99}" destId="{8E487ED1-854B-4A52-9737-AAF07A5B6561}" srcOrd="0" destOrd="0" presId="urn:microsoft.com/office/officeart/2005/8/layout/orgChart1"/>
    <dgm:cxn modelId="{2D4C03D0-7A3B-44A1-84EB-C379C17FC3A8}" type="presOf" srcId="{A5AE3037-5CDE-48B1-980D-BF755907F721}" destId="{42D1E0BE-354F-4E3C-8806-1977ECF66EA1}" srcOrd="0" destOrd="0" presId="urn:microsoft.com/office/officeart/2005/8/layout/orgChart1"/>
    <dgm:cxn modelId="{FABB9FDB-2FCF-4903-993D-DCC028E05F2F}" type="presOf" srcId="{759A86B6-2F79-4936-8581-07D0B45049CD}" destId="{93F63975-AD3A-48CE-8A6A-39CA9BB236AA}" srcOrd="0" destOrd="0" presId="urn:microsoft.com/office/officeart/2005/8/layout/orgChart1"/>
    <dgm:cxn modelId="{E83BB7DB-85C7-4440-9FF7-16554F4CC0A5}" type="presOf" srcId="{1007B6F3-05BC-4F7A-8E1A-37C08373F646}" destId="{B971E225-D9F5-478B-8A95-DB5AA24C6662}" srcOrd="1" destOrd="0" presId="urn:microsoft.com/office/officeart/2005/8/layout/orgChart1"/>
    <dgm:cxn modelId="{E807B8E5-C165-4AC8-B1E1-1F10284923F7}" type="presOf" srcId="{474A8C66-2F0D-4397-874A-DDCABFDC54EB}" destId="{0D136685-5600-4E30-BED0-84E704D24193}" srcOrd="0" destOrd="0" presId="urn:microsoft.com/office/officeart/2005/8/layout/orgChart1"/>
    <dgm:cxn modelId="{46DFFAE5-E9B3-442D-8886-0EC664DB1920}" type="presOf" srcId="{CA0C4A7D-87B4-42FC-B473-86E796E6DB38}" destId="{AE5E83A7-0964-4C8F-AE38-A162F9EC1141}" srcOrd="0" destOrd="0" presId="urn:microsoft.com/office/officeart/2005/8/layout/orgChart1"/>
    <dgm:cxn modelId="{6A70C9E6-D19D-479B-949E-D9E58B2D2928}" type="presOf" srcId="{ED054F05-DECF-448A-832E-B98612B081A1}" destId="{0A209B85-31FA-4E41-BE45-2EB0F430555C}" srcOrd="0" destOrd="0" presId="urn:microsoft.com/office/officeart/2005/8/layout/orgChart1"/>
    <dgm:cxn modelId="{DDD991E8-0698-44E8-A37F-6B5F05ED00D4}" srcId="{ED054F05-DECF-448A-832E-B98612B081A1}" destId="{728EF172-F1A2-4630-ACBD-09151A8D42E0}" srcOrd="0" destOrd="0" parTransId="{E0E28DCF-A5AB-4C9B-8D6E-5C57C3D6B80D}" sibTransId="{06896C4B-0AE3-4711-993A-9BB0A56EB6F2}"/>
    <dgm:cxn modelId="{E36013EA-09C0-49C1-8A23-0972C103C6BA}" srcId="{3D4AA21C-8618-4D88-ADD2-82497DC1C3C8}" destId="{1007B6F3-05BC-4F7A-8E1A-37C08373F646}" srcOrd="2" destOrd="0" parTransId="{DC323120-D202-4A8E-953D-322761F16AE2}" sibTransId="{228E9085-F602-4C47-9F8C-5187B1EC5A82}"/>
    <dgm:cxn modelId="{65F0E0EC-5BA2-41A5-9289-38E3D460AFE8}" type="presOf" srcId="{0202D3B0-F039-4A45-9B54-52DE61CC6EBF}" destId="{0E67771F-D6B3-42E0-A4EC-8EA8EA99163C}" srcOrd="0" destOrd="0" presId="urn:microsoft.com/office/officeart/2005/8/layout/orgChart1"/>
    <dgm:cxn modelId="{A20BE5EC-06D7-445F-B3BE-B6126644BB51}" type="presOf" srcId="{C8E0B336-3FAE-49E2-9905-265ED6B873CF}" destId="{63C2166A-9890-4765-B471-9CF5443E13E1}" srcOrd="0" destOrd="0" presId="urn:microsoft.com/office/officeart/2005/8/layout/orgChart1"/>
    <dgm:cxn modelId="{702E4EF1-8E2F-4BD4-850F-C78B950086AC}" type="presOf" srcId="{E0E28DCF-A5AB-4C9B-8D6E-5C57C3D6B80D}" destId="{07890C3C-0C34-43C6-B53A-43502EC7872E}" srcOrd="0" destOrd="0" presId="urn:microsoft.com/office/officeart/2005/8/layout/orgChart1"/>
    <dgm:cxn modelId="{E8567FF4-9CA3-43FB-9C6A-F90F43C78AE8}" type="presOf" srcId="{4B850433-3650-48AA-859B-F06BE9D5D2A1}" destId="{C24ACD5D-4A90-452B-B807-DD2ACB3F82D7}" srcOrd="1" destOrd="0" presId="urn:microsoft.com/office/officeart/2005/8/layout/orgChart1"/>
    <dgm:cxn modelId="{F49C61F9-6346-4223-916A-0CDD3FF00F58}" srcId="{CA0C4A7D-87B4-42FC-B473-86E796E6DB38}" destId="{3D4AA21C-8618-4D88-ADD2-82497DC1C3C8}" srcOrd="0" destOrd="0" parTransId="{55DD5BB0-27D4-4C12-9A68-2D22B56B3DB9}" sibTransId="{BA36D946-1E1C-4B8A-8920-C56DB42187D5}"/>
    <dgm:cxn modelId="{E8C2DDFB-EAB8-479D-930F-B06F7BF8F376}" type="presOf" srcId="{F56A11B0-F829-4403-B03B-66574A081A1D}" destId="{F512030C-FBC5-4D3B-A89E-F874314E7A02}" srcOrd="1" destOrd="0" presId="urn:microsoft.com/office/officeart/2005/8/layout/orgChart1"/>
    <dgm:cxn modelId="{B2F026A2-94CD-44D1-B56C-ED6B1BB990D2}" type="presParOf" srcId="{AE5E83A7-0964-4C8F-AE38-A162F9EC1141}" destId="{03C0F827-EF46-4C6A-8A7B-173F39D63C47}" srcOrd="0" destOrd="0" presId="urn:microsoft.com/office/officeart/2005/8/layout/orgChart1"/>
    <dgm:cxn modelId="{DF0E9E2E-25F0-4F38-ACC0-4A07A9CF3915}" type="presParOf" srcId="{03C0F827-EF46-4C6A-8A7B-173F39D63C47}" destId="{C17EA8BB-09B7-4C3C-8988-EB642C1DB8DA}" srcOrd="0" destOrd="0" presId="urn:microsoft.com/office/officeart/2005/8/layout/orgChart1"/>
    <dgm:cxn modelId="{BF2D99C5-A7D6-4A9B-9FE4-FE51CA8CBA7E}" type="presParOf" srcId="{C17EA8BB-09B7-4C3C-8988-EB642C1DB8DA}" destId="{C9906B2A-6D0D-4B97-86E9-67AB72BB51C3}" srcOrd="0" destOrd="0" presId="urn:microsoft.com/office/officeart/2005/8/layout/orgChart1"/>
    <dgm:cxn modelId="{314C3CC2-CFD4-4699-AB05-E6F3E4FB08C7}" type="presParOf" srcId="{C17EA8BB-09B7-4C3C-8988-EB642C1DB8DA}" destId="{02ACD5D0-6C9D-484A-BD23-29ABC006DAEA}" srcOrd="1" destOrd="0" presId="urn:microsoft.com/office/officeart/2005/8/layout/orgChart1"/>
    <dgm:cxn modelId="{61631752-803F-4088-A050-2A80D3506F29}" type="presParOf" srcId="{03C0F827-EF46-4C6A-8A7B-173F39D63C47}" destId="{FF8BCAD5-BE9A-4430-BBC0-D43BA79507C0}" srcOrd="1" destOrd="0" presId="urn:microsoft.com/office/officeart/2005/8/layout/orgChart1"/>
    <dgm:cxn modelId="{5CFE249B-5BFB-455B-8BEE-CC11597E5F68}" type="presParOf" srcId="{FF8BCAD5-BE9A-4430-BBC0-D43BA79507C0}" destId="{93F63975-AD3A-48CE-8A6A-39CA9BB236AA}" srcOrd="0" destOrd="0" presId="urn:microsoft.com/office/officeart/2005/8/layout/orgChart1"/>
    <dgm:cxn modelId="{480B6E8C-0E6B-49F2-8333-D1421544A5C7}" type="presParOf" srcId="{FF8BCAD5-BE9A-4430-BBC0-D43BA79507C0}" destId="{49325649-D094-4BD1-A2F7-B0C137CD3783}" srcOrd="1" destOrd="0" presId="urn:microsoft.com/office/officeart/2005/8/layout/orgChart1"/>
    <dgm:cxn modelId="{937CC1C8-DEEB-444D-AE5E-D52456785A7B}" type="presParOf" srcId="{49325649-D094-4BD1-A2F7-B0C137CD3783}" destId="{70789CCD-8B0C-49CD-B4B8-0C065B45323F}" srcOrd="0" destOrd="0" presId="urn:microsoft.com/office/officeart/2005/8/layout/orgChart1"/>
    <dgm:cxn modelId="{D6B01F9E-86CE-4AF5-8BC9-7354C74B4787}" type="presParOf" srcId="{70789CCD-8B0C-49CD-B4B8-0C065B45323F}" destId="{0A209B85-31FA-4E41-BE45-2EB0F430555C}" srcOrd="0" destOrd="0" presId="urn:microsoft.com/office/officeart/2005/8/layout/orgChart1"/>
    <dgm:cxn modelId="{C3B2374E-F704-4108-B86B-6F312AF3BA6E}" type="presParOf" srcId="{70789CCD-8B0C-49CD-B4B8-0C065B45323F}" destId="{93AA080D-57AE-4E81-958D-F9A1D38E6CF3}" srcOrd="1" destOrd="0" presId="urn:microsoft.com/office/officeart/2005/8/layout/orgChart1"/>
    <dgm:cxn modelId="{A9A30BC4-1003-444B-8357-EF9C5C0CE7A0}" type="presParOf" srcId="{49325649-D094-4BD1-A2F7-B0C137CD3783}" destId="{5B8EF062-37A5-49E6-A886-57B55A36AD80}" srcOrd="1" destOrd="0" presId="urn:microsoft.com/office/officeart/2005/8/layout/orgChart1"/>
    <dgm:cxn modelId="{D1D272C4-96EC-4FB6-9E73-32F2FC382F18}" type="presParOf" srcId="{5B8EF062-37A5-49E6-A886-57B55A36AD80}" destId="{07890C3C-0C34-43C6-B53A-43502EC7872E}" srcOrd="0" destOrd="0" presId="urn:microsoft.com/office/officeart/2005/8/layout/orgChart1"/>
    <dgm:cxn modelId="{5E82928C-E017-44A9-9308-9995982ED289}" type="presParOf" srcId="{5B8EF062-37A5-49E6-A886-57B55A36AD80}" destId="{E81F8071-148A-4763-8EFF-7359EBC8DE40}" srcOrd="1" destOrd="0" presId="urn:microsoft.com/office/officeart/2005/8/layout/orgChart1"/>
    <dgm:cxn modelId="{29E09D49-40D0-401F-8DEA-74FD25B7FDE1}" type="presParOf" srcId="{E81F8071-148A-4763-8EFF-7359EBC8DE40}" destId="{FDD95A59-FDE0-4E38-BD3F-1AEE9AAEC663}" srcOrd="0" destOrd="0" presId="urn:microsoft.com/office/officeart/2005/8/layout/orgChart1"/>
    <dgm:cxn modelId="{238877A0-FE2C-4852-AEEF-7DA11CEA61D8}" type="presParOf" srcId="{FDD95A59-FDE0-4E38-BD3F-1AEE9AAEC663}" destId="{25CBE439-FF8E-48F7-B5EE-F025139ED159}" srcOrd="0" destOrd="0" presId="urn:microsoft.com/office/officeart/2005/8/layout/orgChart1"/>
    <dgm:cxn modelId="{32E8018C-0432-4470-BB86-A473712274A8}" type="presParOf" srcId="{FDD95A59-FDE0-4E38-BD3F-1AEE9AAEC663}" destId="{EA9065D7-9704-4C0A-8D0D-77EE2F0AF926}" srcOrd="1" destOrd="0" presId="urn:microsoft.com/office/officeart/2005/8/layout/orgChart1"/>
    <dgm:cxn modelId="{E9708652-2425-4656-AC2F-F03B605EBA10}" type="presParOf" srcId="{E81F8071-148A-4763-8EFF-7359EBC8DE40}" destId="{D70D0C17-EA0F-4EA2-88B8-05912BDCDDF2}" srcOrd="1" destOrd="0" presId="urn:microsoft.com/office/officeart/2005/8/layout/orgChart1"/>
    <dgm:cxn modelId="{63975C03-D0D5-4B7E-9C42-B820C22569BC}" type="presParOf" srcId="{E81F8071-148A-4763-8EFF-7359EBC8DE40}" destId="{7580CB60-37C3-4922-B670-CB79D70669CB}" srcOrd="2" destOrd="0" presId="urn:microsoft.com/office/officeart/2005/8/layout/orgChart1"/>
    <dgm:cxn modelId="{705E8B0E-9FFC-4E2E-9000-A993C61E8DFD}" type="presParOf" srcId="{5B8EF062-37A5-49E6-A886-57B55A36AD80}" destId="{0682577A-DD48-4F68-A560-24C92A32267A}" srcOrd="2" destOrd="0" presId="urn:microsoft.com/office/officeart/2005/8/layout/orgChart1"/>
    <dgm:cxn modelId="{FC77A400-E8EC-4197-8CDC-2AAEA1756382}" type="presParOf" srcId="{5B8EF062-37A5-49E6-A886-57B55A36AD80}" destId="{F807C59A-718A-4B6B-95A4-4DE71D9B58EF}" srcOrd="3" destOrd="0" presId="urn:microsoft.com/office/officeart/2005/8/layout/orgChart1"/>
    <dgm:cxn modelId="{F495C1F6-1126-4E40-804F-6BEDC8AC5312}" type="presParOf" srcId="{F807C59A-718A-4B6B-95A4-4DE71D9B58EF}" destId="{CCA4A9ED-1E46-487D-A4EC-7A1E9512863F}" srcOrd="0" destOrd="0" presId="urn:microsoft.com/office/officeart/2005/8/layout/orgChart1"/>
    <dgm:cxn modelId="{BCE2C5A6-57D0-4594-A625-770D5365D52B}" type="presParOf" srcId="{CCA4A9ED-1E46-487D-A4EC-7A1E9512863F}" destId="{340D405E-7980-48FF-92E8-4B1BA0904690}" srcOrd="0" destOrd="0" presId="urn:microsoft.com/office/officeart/2005/8/layout/orgChart1"/>
    <dgm:cxn modelId="{251924F7-7240-45E5-9DB5-659C32F81CC9}" type="presParOf" srcId="{CCA4A9ED-1E46-487D-A4EC-7A1E9512863F}" destId="{8CF0BE38-64A4-48F7-91EA-1C5DF9DE28BA}" srcOrd="1" destOrd="0" presId="urn:microsoft.com/office/officeart/2005/8/layout/orgChart1"/>
    <dgm:cxn modelId="{8E4BA1E9-769B-41D9-BDCD-EBE026BCAEDB}" type="presParOf" srcId="{F807C59A-718A-4B6B-95A4-4DE71D9B58EF}" destId="{29A25B00-B975-4C02-86E5-474E22CEC8B6}" srcOrd="1" destOrd="0" presId="urn:microsoft.com/office/officeart/2005/8/layout/orgChart1"/>
    <dgm:cxn modelId="{BD081789-95ED-4331-B397-E5D9A2E0BCCF}" type="presParOf" srcId="{F807C59A-718A-4B6B-95A4-4DE71D9B58EF}" destId="{61E0D8D8-696B-4694-AB78-FAF9F716517A}" srcOrd="2" destOrd="0" presId="urn:microsoft.com/office/officeart/2005/8/layout/orgChart1"/>
    <dgm:cxn modelId="{9262A584-BEF3-4357-A05A-E3A0D75D0A13}" type="presParOf" srcId="{49325649-D094-4BD1-A2F7-B0C137CD3783}" destId="{91D2895F-3E53-4BC7-9AB0-1076D1CBD59C}" srcOrd="2" destOrd="0" presId="urn:microsoft.com/office/officeart/2005/8/layout/orgChart1"/>
    <dgm:cxn modelId="{8E2DBB1D-2DAC-479D-B539-BC6E9E92F97F}" type="presParOf" srcId="{FF8BCAD5-BE9A-4430-BBC0-D43BA79507C0}" destId="{0D136685-5600-4E30-BED0-84E704D24193}" srcOrd="2" destOrd="0" presId="urn:microsoft.com/office/officeart/2005/8/layout/orgChart1"/>
    <dgm:cxn modelId="{7559E41D-BF2E-47BB-8068-C79657257C37}" type="presParOf" srcId="{FF8BCAD5-BE9A-4430-BBC0-D43BA79507C0}" destId="{646878FC-A1C4-4169-97C2-0F25682FDB8A}" srcOrd="3" destOrd="0" presId="urn:microsoft.com/office/officeart/2005/8/layout/orgChart1"/>
    <dgm:cxn modelId="{827A7685-BF3F-45F9-9EE2-05C54421A735}" type="presParOf" srcId="{646878FC-A1C4-4169-97C2-0F25682FDB8A}" destId="{B1B56372-9E70-4A18-ABC7-31AC6F3A3149}" srcOrd="0" destOrd="0" presId="urn:microsoft.com/office/officeart/2005/8/layout/orgChart1"/>
    <dgm:cxn modelId="{AA9D1B96-5A60-4C5A-AFA8-19B63945348A}" type="presParOf" srcId="{B1B56372-9E70-4A18-ABC7-31AC6F3A3149}" destId="{F929D97E-86BE-4488-B496-35906E1F9CAE}" srcOrd="0" destOrd="0" presId="urn:microsoft.com/office/officeart/2005/8/layout/orgChart1"/>
    <dgm:cxn modelId="{D5F96B82-7EFA-4368-9326-C8917B3D464E}" type="presParOf" srcId="{B1B56372-9E70-4A18-ABC7-31AC6F3A3149}" destId="{B955BC7D-DAC9-4057-99DB-72B0147F93F2}" srcOrd="1" destOrd="0" presId="urn:microsoft.com/office/officeart/2005/8/layout/orgChart1"/>
    <dgm:cxn modelId="{E143DE64-EA6A-4848-ABE0-6C3AA939144D}" type="presParOf" srcId="{646878FC-A1C4-4169-97C2-0F25682FDB8A}" destId="{44A9F1B2-39FB-45A3-AB69-4CDFB5D6C1C0}" srcOrd="1" destOrd="0" presId="urn:microsoft.com/office/officeart/2005/8/layout/orgChart1"/>
    <dgm:cxn modelId="{52784CB0-CF81-471B-B31C-80A9239896FD}" type="presParOf" srcId="{44A9F1B2-39FB-45A3-AB69-4CDFB5D6C1C0}" destId="{3BF4E0A2-533F-46EF-B1EF-8466DEC47284}" srcOrd="0" destOrd="0" presId="urn:microsoft.com/office/officeart/2005/8/layout/orgChart1"/>
    <dgm:cxn modelId="{B38B57C7-1BB4-418A-AC7D-5EEE33AA8BE1}" type="presParOf" srcId="{44A9F1B2-39FB-45A3-AB69-4CDFB5D6C1C0}" destId="{DC2ABF01-CA2C-4A00-AEB8-54EB3DDBCB56}" srcOrd="1" destOrd="0" presId="urn:microsoft.com/office/officeart/2005/8/layout/orgChart1"/>
    <dgm:cxn modelId="{0F5C1831-E17E-456A-9D10-B0241C785BB1}" type="presParOf" srcId="{DC2ABF01-CA2C-4A00-AEB8-54EB3DDBCB56}" destId="{4DB6B53A-C791-4485-8973-ADD55BCD34BF}" srcOrd="0" destOrd="0" presId="urn:microsoft.com/office/officeart/2005/8/layout/orgChart1"/>
    <dgm:cxn modelId="{477EC810-FD5B-4B3C-BD44-A5051567044E}" type="presParOf" srcId="{4DB6B53A-C791-4485-8973-ADD55BCD34BF}" destId="{A53EE3FD-0868-455B-8BBA-76212B84AD2F}" srcOrd="0" destOrd="0" presId="urn:microsoft.com/office/officeart/2005/8/layout/orgChart1"/>
    <dgm:cxn modelId="{3AF1EDBC-A0E5-4C03-92AC-0FF3E895B2F1}" type="presParOf" srcId="{4DB6B53A-C791-4485-8973-ADD55BCD34BF}" destId="{C24ACD5D-4A90-452B-B807-DD2ACB3F82D7}" srcOrd="1" destOrd="0" presId="urn:microsoft.com/office/officeart/2005/8/layout/orgChart1"/>
    <dgm:cxn modelId="{5E2678B0-5FBE-4995-87A4-BCBD1B659991}" type="presParOf" srcId="{DC2ABF01-CA2C-4A00-AEB8-54EB3DDBCB56}" destId="{E04CFBD4-1794-4811-9482-8593FC119F23}" srcOrd="1" destOrd="0" presId="urn:microsoft.com/office/officeart/2005/8/layout/orgChart1"/>
    <dgm:cxn modelId="{18C941C0-00FD-4FE8-9885-3243EFC72E16}" type="presParOf" srcId="{DC2ABF01-CA2C-4A00-AEB8-54EB3DDBCB56}" destId="{78B4F3FE-F575-4231-B68B-11F8300430B1}" srcOrd="2" destOrd="0" presId="urn:microsoft.com/office/officeart/2005/8/layout/orgChart1"/>
    <dgm:cxn modelId="{440022ED-6296-4A5D-B1E6-937E113C1B7D}" type="presParOf" srcId="{44A9F1B2-39FB-45A3-AB69-4CDFB5D6C1C0}" destId="{FD2BD50E-D384-49FE-BB00-71E6AEEEE500}" srcOrd="2" destOrd="0" presId="urn:microsoft.com/office/officeart/2005/8/layout/orgChart1"/>
    <dgm:cxn modelId="{83BE7072-E143-4935-B6F4-173C438E3B4C}" type="presParOf" srcId="{44A9F1B2-39FB-45A3-AB69-4CDFB5D6C1C0}" destId="{C2D4CFC6-EDEA-4994-85C4-82C320A7C677}" srcOrd="3" destOrd="0" presId="urn:microsoft.com/office/officeart/2005/8/layout/orgChart1"/>
    <dgm:cxn modelId="{60CB0EDC-44EC-489C-81D0-52B01C9BE798}" type="presParOf" srcId="{C2D4CFC6-EDEA-4994-85C4-82C320A7C677}" destId="{D088533D-A6D4-42DD-8549-CE6D6612641C}" srcOrd="0" destOrd="0" presId="urn:microsoft.com/office/officeart/2005/8/layout/orgChart1"/>
    <dgm:cxn modelId="{70EFC514-8134-4581-A71A-6963733C7A4F}" type="presParOf" srcId="{D088533D-A6D4-42DD-8549-CE6D6612641C}" destId="{1BB92FE5-CE5A-41FE-B673-C4A4F62BF5AB}" srcOrd="0" destOrd="0" presId="urn:microsoft.com/office/officeart/2005/8/layout/orgChart1"/>
    <dgm:cxn modelId="{37263850-0CBA-4D39-A04C-EF0B07F433A8}" type="presParOf" srcId="{D088533D-A6D4-42DD-8549-CE6D6612641C}" destId="{C55C49B2-409B-4525-9D61-0D463E355467}" srcOrd="1" destOrd="0" presId="urn:microsoft.com/office/officeart/2005/8/layout/orgChart1"/>
    <dgm:cxn modelId="{208B6F2C-D248-4A7C-956D-D773412A4CFE}" type="presParOf" srcId="{C2D4CFC6-EDEA-4994-85C4-82C320A7C677}" destId="{01E9F9E7-41C4-4196-B067-4AA632BDE21D}" srcOrd="1" destOrd="0" presId="urn:microsoft.com/office/officeart/2005/8/layout/orgChart1"/>
    <dgm:cxn modelId="{36D9B637-6505-4E14-8021-FDA709E0D163}" type="presParOf" srcId="{C2D4CFC6-EDEA-4994-85C4-82C320A7C677}" destId="{16BFCAC6-DC2E-45FA-B317-635DF3BD8F62}" srcOrd="2" destOrd="0" presId="urn:microsoft.com/office/officeart/2005/8/layout/orgChart1"/>
    <dgm:cxn modelId="{27937F5F-49C9-44AE-9DAA-5DC67F0F60F1}" type="presParOf" srcId="{44A9F1B2-39FB-45A3-AB69-4CDFB5D6C1C0}" destId="{FEA01142-F62E-4F09-955A-6EF0C7069331}" srcOrd="4" destOrd="0" presId="urn:microsoft.com/office/officeart/2005/8/layout/orgChart1"/>
    <dgm:cxn modelId="{AD866946-4F43-4D7D-9E67-7D719BEB221B}" type="presParOf" srcId="{44A9F1B2-39FB-45A3-AB69-4CDFB5D6C1C0}" destId="{F53AEB9B-37A0-47A7-9844-7F512AC66904}" srcOrd="5" destOrd="0" presId="urn:microsoft.com/office/officeart/2005/8/layout/orgChart1"/>
    <dgm:cxn modelId="{C041B6EF-C115-4F3C-84F8-BCF4B0334722}" type="presParOf" srcId="{F53AEB9B-37A0-47A7-9844-7F512AC66904}" destId="{5BDCB8CB-9218-4565-AD2A-723662D72680}" srcOrd="0" destOrd="0" presId="urn:microsoft.com/office/officeart/2005/8/layout/orgChart1"/>
    <dgm:cxn modelId="{162CA6A8-F641-4A85-AB9C-D66A68311B71}" type="presParOf" srcId="{5BDCB8CB-9218-4565-AD2A-723662D72680}" destId="{B509DCB6-92BF-408D-9332-348533AC8AE4}" srcOrd="0" destOrd="0" presId="urn:microsoft.com/office/officeart/2005/8/layout/orgChart1"/>
    <dgm:cxn modelId="{AFAB1710-74AC-46A0-BFCA-ED9ADC02D9EF}" type="presParOf" srcId="{5BDCB8CB-9218-4565-AD2A-723662D72680}" destId="{260E8905-E423-4F36-BAD2-9471CD368CFA}" srcOrd="1" destOrd="0" presId="urn:microsoft.com/office/officeart/2005/8/layout/orgChart1"/>
    <dgm:cxn modelId="{0176F82B-64AB-45C9-8F8F-2064D74BCFF4}" type="presParOf" srcId="{F53AEB9B-37A0-47A7-9844-7F512AC66904}" destId="{5477AFEF-68F3-4E40-A383-B71021CC1C12}" srcOrd="1" destOrd="0" presId="urn:microsoft.com/office/officeart/2005/8/layout/orgChart1"/>
    <dgm:cxn modelId="{A1B0791F-CF1C-4670-9438-37B29A2A784A}" type="presParOf" srcId="{F53AEB9B-37A0-47A7-9844-7F512AC66904}" destId="{C9993A71-F16C-4C0F-90DE-5F6B5DE2D2C9}" srcOrd="2" destOrd="0" presId="urn:microsoft.com/office/officeart/2005/8/layout/orgChart1"/>
    <dgm:cxn modelId="{9E28BA5C-FD3F-41B3-B5A2-A4F043F82632}" type="presParOf" srcId="{646878FC-A1C4-4169-97C2-0F25682FDB8A}" destId="{24437570-CAF3-40CD-AC31-3F36F640E640}" srcOrd="2" destOrd="0" presId="urn:microsoft.com/office/officeart/2005/8/layout/orgChart1"/>
    <dgm:cxn modelId="{41042E55-39B3-4E1A-8575-DF938D162A1E}" type="presParOf" srcId="{FF8BCAD5-BE9A-4430-BBC0-D43BA79507C0}" destId="{F92DD1E1-B9A1-46FB-97E4-955B61300390}" srcOrd="4" destOrd="0" presId="urn:microsoft.com/office/officeart/2005/8/layout/orgChart1"/>
    <dgm:cxn modelId="{8A72594E-7663-4B41-A93F-611A6BB3ED18}" type="presParOf" srcId="{FF8BCAD5-BE9A-4430-BBC0-D43BA79507C0}" destId="{A9655281-1A11-48A7-A397-28B2365A7821}" srcOrd="5" destOrd="0" presId="urn:microsoft.com/office/officeart/2005/8/layout/orgChart1"/>
    <dgm:cxn modelId="{D8082F37-24E3-4F4B-9AE0-2F9DCE3197E8}" type="presParOf" srcId="{A9655281-1A11-48A7-A397-28B2365A7821}" destId="{16DF5A1D-F328-4D8F-9A64-679F012C89FD}" srcOrd="0" destOrd="0" presId="urn:microsoft.com/office/officeart/2005/8/layout/orgChart1"/>
    <dgm:cxn modelId="{45F409A9-BB10-4B6B-A5F2-6744132D29AF}" type="presParOf" srcId="{16DF5A1D-F328-4D8F-9A64-679F012C89FD}" destId="{1BE2E877-A98C-4F5E-B162-7E381A985946}" srcOrd="0" destOrd="0" presId="urn:microsoft.com/office/officeart/2005/8/layout/orgChart1"/>
    <dgm:cxn modelId="{C5167A9F-B422-454B-959C-FCB7B7EB1D39}" type="presParOf" srcId="{16DF5A1D-F328-4D8F-9A64-679F012C89FD}" destId="{B971E225-D9F5-478B-8A95-DB5AA24C6662}" srcOrd="1" destOrd="0" presId="urn:microsoft.com/office/officeart/2005/8/layout/orgChart1"/>
    <dgm:cxn modelId="{761EF883-11D6-4F40-9998-0601AA8227F4}" type="presParOf" srcId="{A9655281-1A11-48A7-A397-28B2365A7821}" destId="{68EA9830-A38B-4137-AD59-A7E86F6FAAA7}" srcOrd="1" destOrd="0" presId="urn:microsoft.com/office/officeart/2005/8/layout/orgChart1"/>
    <dgm:cxn modelId="{D8616B45-E0F6-4F27-A9C6-79B816248795}" type="presParOf" srcId="{68EA9830-A38B-4137-AD59-A7E86F6FAAA7}" destId="{FE6A734C-CD98-41BA-B25A-1C4D4AE8317A}" srcOrd="0" destOrd="0" presId="urn:microsoft.com/office/officeart/2005/8/layout/orgChart1"/>
    <dgm:cxn modelId="{59920D3E-2A7D-4E74-9B32-F1EA1F631B68}" type="presParOf" srcId="{68EA9830-A38B-4137-AD59-A7E86F6FAAA7}" destId="{0CFBA51D-31D1-471A-9BC7-2CEB9D7C399F}" srcOrd="1" destOrd="0" presId="urn:microsoft.com/office/officeart/2005/8/layout/orgChart1"/>
    <dgm:cxn modelId="{22EB429A-ACC2-4337-BFEA-2E5023CD9F74}" type="presParOf" srcId="{0CFBA51D-31D1-471A-9BC7-2CEB9D7C399F}" destId="{0D15A8F0-925F-4930-A883-35E4E6551285}" srcOrd="0" destOrd="0" presId="urn:microsoft.com/office/officeart/2005/8/layout/orgChart1"/>
    <dgm:cxn modelId="{52858BF8-F5B2-4D76-AE81-4A8D22CBF5F0}" type="presParOf" srcId="{0D15A8F0-925F-4930-A883-35E4E6551285}" destId="{6A43EABD-03AA-415F-BE3A-2DD31AB048C5}" srcOrd="0" destOrd="0" presId="urn:microsoft.com/office/officeart/2005/8/layout/orgChart1"/>
    <dgm:cxn modelId="{AD899348-A4AE-4BC7-A496-5FC7E2A76A86}" type="presParOf" srcId="{0D15A8F0-925F-4930-A883-35E4E6551285}" destId="{DECA7EAF-1BEF-41A3-ABB3-5EAA3BAAF462}" srcOrd="1" destOrd="0" presId="urn:microsoft.com/office/officeart/2005/8/layout/orgChart1"/>
    <dgm:cxn modelId="{E3B803C9-A82B-44AD-B9B3-DAB666AEC9F0}" type="presParOf" srcId="{0CFBA51D-31D1-471A-9BC7-2CEB9D7C399F}" destId="{D85C8B7E-C5E4-4E2B-A51E-8DED9E096F4F}" srcOrd="1" destOrd="0" presId="urn:microsoft.com/office/officeart/2005/8/layout/orgChart1"/>
    <dgm:cxn modelId="{3A75C5B4-7DDA-4CF8-BDFF-A5C7BDF2B938}" type="presParOf" srcId="{0CFBA51D-31D1-471A-9BC7-2CEB9D7C399F}" destId="{9A795A8B-98A0-4E3A-8C63-BBCD9EC7B428}" srcOrd="2" destOrd="0" presId="urn:microsoft.com/office/officeart/2005/8/layout/orgChart1"/>
    <dgm:cxn modelId="{FAEEB396-17B5-494F-9076-74632C712F0C}" type="presParOf" srcId="{68EA9830-A38B-4137-AD59-A7E86F6FAAA7}" destId="{D978C072-8E92-43C4-91B3-F3E661B7ABAC}" srcOrd="2" destOrd="0" presId="urn:microsoft.com/office/officeart/2005/8/layout/orgChart1"/>
    <dgm:cxn modelId="{02103929-9BF8-49D2-9E66-B69D2DE4E5E7}" type="presParOf" srcId="{68EA9830-A38B-4137-AD59-A7E86F6FAAA7}" destId="{4BE219A9-D29C-4EF0-AD63-17317A4642BE}" srcOrd="3" destOrd="0" presId="urn:microsoft.com/office/officeart/2005/8/layout/orgChart1"/>
    <dgm:cxn modelId="{11F2C32C-BC66-49D3-B14C-ACB7C4B436F1}" type="presParOf" srcId="{4BE219A9-D29C-4EF0-AD63-17317A4642BE}" destId="{33E3FF0E-3075-4C97-9AB8-B35A81D99026}" srcOrd="0" destOrd="0" presId="urn:microsoft.com/office/officeart/2005/8/layout/orgChart1"/>
    <dgm:cxn modelId="{2A5114B7-4D49-4560-B6E0-70E89225D9C9}" type="presParOf" srcId="{33E3FF0E-3075-4C97-9AB8-B35A81D99026}" destId="{19B89C79-DE41-4F48-9743-7325556D13A7}" srcOrd="0" destOrd="0" presId="urn:microsoft.com/office/officeart/2005/8/layout/orgChart1"/>
    <dgm:cxn modelId="{ED605FE7-2525-470D-842A-F1912C56DDA2}" type="presParOf" srcId="{33E3FF0E-3075-4C97-9AB8-B35A81D99026}" destId="{135572E7-D0A9-47F1-B57C-3842E7D4BA7A}" srcOrd="1" destOrd="0" presId="urn:microsoft.com/office/officeart/2005/8/layout/orgChart1"/>
    <dgm:cxn modelId="{7F51F5A6-1C96-418F-A92C-DA75819088F8}" type="presParOf" srcId="{4BE219A9-D29C-4EF0-AD63-17317A4642BE}" destId="{E0086AA6-9892-483C-8BF3-8DFA11CB0C89}" srcOrd="1" destOrd="0" presId="urn:microsoft.com/office/officeart/2005/8/layout/orgChart1"/>
    <dgm:cxn modelId="{05845C92-B30C-4AA7-B054-E6784F94C46F}" type="presParOf" srcId="{4BE219A9-D29C-4EF0-AD63-17317A4642BE}" destId="{294FCD5E-48DF-44D1-87AD-8120DD61C071}" srcOrd="2" destOrd="0" presId="urn:microsoft.com/office/officeart/2005/8/layout/orgChart1"/>
    <dgm:cxn modelId="{DA825291-B349-4C7D-A459-E5FCBC6D9D5A}" type="presParOf" srcId="{68EA9830-A38B-4137-AD59-A7E86F6FAAA7}" destId="{8E487ED1-854B-4A52-9737-AAF07A5B6561}" srcOrd="4" destOrd="0" presId="urn:microsoft.com/office/officeart/2005/8/layout/orgChart1"/>
    <dgm:cxn modelId="{94AD2126-D79A-4855-AA47-76C88906A327}" type="presParOf" srcId="{68EA9830-A38B-4137-AD59-A7E86F6FAAA7}" destId="{0EDA9EF3-F649-4B52-AB88-688C9B52ADAD}" srcOrd="5" destOrd="0" presId="urn:microsoft.com/office/officeart/2005/8/layout/orgChart1"/>
    <dgm:cxn modelId="{53875258-BC3B-4B7E-B0AE-A3762EAA7591}" type="presParOf" srcId="{0EDA9EF3-F649-4B52-AB88-688C9B52ADAD}" destId="{B6A5BF6A-F825-4E87-9BF1-F12F0E1A2824}" srcOrd="0" destOrd="0" presId="urn:microsoft.com/office/officeart/2005/8/layout/orgChart1"/>
    <dgm:cxn modelId="{156DDDD4-E387-416D-A7FC-2D1C238CE4B3}" type="presParOf" srcId="{B6A5BF6A-F825-4E87-9BF1-F12F0E1A2824}" destId="{0E67771F-D6B3-42E0-A4EC-8EA8EA99163C}" srcOrd="0" destOrd="0" presId="urn:microsoft.com/office/officeart/2005/8/layout/orgChart1"/>
    <dgm:cxn modelId="{CAF796C2-9499-4A5C-936B-516D2470FB98}" type="presParOf" srcId="{B6A5BF6A-F825-4E87-9BF1-F12F0E1A2824}" destId="{56227AB4-9AF1-4700-B97A-335834EB032E}" srcOrd="1" destOrd="0" presId="urn:microsoft.com/office/officeart/2005/8/layout/orgChart1"/>
    <dgm:cxn modelId="{EA92BB15-48B3-4D1F-8847-5D7F5466CDB8}" type="presParOf" srcId="{0EDA9EF3-F649-4B52-AB88-688C9B52ADAD}" destId="{5913F22F-50C4-401C-9266-A98924DA7048}" srcOrd="1" destOrd="0" presId="urn:microsoft.com/office/officeart/2005/8/layout/orgChart1"/>
    <dgm:cxn modelId="{DBB76BC9-2A4A-4B80-A938-66DD77B7F9ED}" type="presParOf" srcId="{0EDA9EF3-F649-4B52-AB88-688C9B52ADAD}" destId="{2A7854A4-11CB-4163-A81B-CB4274046604}" srcOrd="2" destOrd="0" presId="urn:microsoft.com/office/officeart/2005/8/layout/orgChart1"/>
    <dgm:cxn modelId="{CC26DD31-A2F1-4A19-9DA7-B6FF05E10EAF}" type="presParOf" srcId="{68EA9830-A38B-4137-AD59-A7E86F6FAAA7}" destId="{63C2166A-9890-4765-B471-9CF5443E13E1}" srcOrd="6" destOrd="0" presId="urn:microsoft.com/office/officeart/2005/8/layout/orgChart1"/>
    <dgm:cxn modelId="{0A20C707-1D42-41EF-B815-BB6B9FCCE63A}" type="presParOf" srcId="{68EA9830-A38B-4137-AD59-A7E86F6FAAA7}" destId="{E8582E46-3F55-467E-A715-32016865D1A6}" srcOrd="7" destOrd="0" presId="urn:microsoft.com/office/officeart/2005/8/layout/orgChart1"/>
    <dgm:cxn modelId="{6563E052-50F9-4BB8-989A-2DF6E15DDCE7}" type="presParOf" srcId="{E8582E46-3F55-467E-A715-32016865D1A6}" destId="{D6CEDB75-257A-4AF8-BABE-4C382AE4AAE2}" srcOrd="0" destOrd="0" presId="urn:microsoft.com/office/officeart/2005/8/layout/orgChart1"/>
    <dgm:cxn modelId="{5A229BF3-F134-4F09-A1F9-08827E1DCDF1}" type="presParOf" srcId="{D6CEDB75-257A-4AF8-BABE-4C382AE4AAE2}" destId="{B96902F1-B08B-497F-AE3F-EA9BCF9D174F}" srcOrd="0" destOrd="0" presId="urn:microsoft.com/office/officeart/2005/8/layout/orgChart1"/>
    <dgm:cxn modelId="{46C8970F-6C20-4D3F-8999-25DC25ED7A0E}" type="presParOf" srcId="{D6CEDB75-257A-4AF8-BABE-4C382AE4AAE2}" destId="{6910BC06-9EDC-4625-A113-490214FE8F24}" srcOrd="1" destOrd="0" presId="urn:microsoft.com/office/officeart/2005/8/layout/orgChart1"/>
    <dgm:cxn modelId="{348F3D76-715F-477C-8A23-94F291CD471D}" type="presParOf" srcId="{E8582E46-3F55-467E-A715-32016865D1A6}" destId="{3A02CFAF-BB77-4FC2-9CBF-3F2E760EFED6}" srcOrd="1" destOrd="0" presId="urn:microsoft.com/office/officeart/2005/8/layout/orgChart1"/>
    <dgm:cxn modelId="{7A57EDF5-3275-4C8E-9560-1ECC976F6172}" type="presParOf" srcId="{E8582E46-3F55-467E-A715-32016865D1A6}" destId="{3D61CB52-E620-4C56-864B-7E84E5E09C30}" srcOrd="2" destOrd="0" presId="urn:microsoft.com/office/officeart/2005/8/layout/orgChart1"/>
    <dgm:cxn modelId="{25662D5E-2150-4604-B499-F3FB22AEC8EC}" type="presParOf" srcId="{A9655281-1A11-48A7-A397-28B2365A7821}" destId="{B9E18785-60C1-46A6-89DB-EFB0849FC9C4}" srcOrd="2" destOrd="0" presId="urn:microsoft.com/office/officeart/2005/8/layout/orgChart1"/>
    <dgm:cxn modelId="{B76A32BC-34F1-45F3-BBE3-A136283396EE}" type="presParOf" srcId="{FF8BCAD5-BE9A-4430-BBC0-D43BA79507C0}" destId="{98DD77B9-6508-4827-9493-60FB472DE478}" srcOrd="6" destOrd="0" presId="urn:microsoft.com/office/officeart/2005/8/layout/orgChart1"/>
    <dgm:cxn modelId="{AC7C46F9-4EB0-4422-A793-F3A44A972AF1}" type="presParOf" srcId="{FF8BCAD5-BE9A-4430-BBC0-D43BA79507C0}" destId="{1575CE88-5799-4DA5-9BC6-09897D82DF48}" srcOrd="7" destOrd="0" presId="urn:microsoft.com/office/officeart/2005/8/layout/orgChart1"/>
    <dgm:cxn modelId="{6ED800C2-A5E9-4608-AFB4-3F605F9E30E0}" type="presParOf" srcId="{1575CE88-5799-4DA5-9BC6-09897D82DF48}" destId="{F09DB981-3CD5-4201-8323-D09C948E8960}" srcOrd="0" destOrd="0" presId="urn:microsoft.com/office/officeart/2005/8/layout/orgChart1"/>
    <dgm:cxn modelId="{FF20A64D-F149-4357-A9D9-677CB03BE3A9}" type="presParOf" srcId="{F09DB981-3CD5-4201-8323-D09C948E8960}" destId="{42D1E0BE-354F-4E3C-8806-1977ECF66EA1}" srcOrd="0" destOrd="0" presId="urn:microsoft.com/office/officeart/2005/8/layout/orgChart1"/>
    <dgm:cxn modelId="{C7B0037A-8E2D-4B40-80A0-F9D3A31CAC73}" type="presParOf" srcId="{F09DB981-3CD5-4201-8323-D09C948E8960}" destId="{6280D6AE-52C6-48FA-A310-9B841171A626}" srcOrd="1" destOrd="0" presId="urn:microsoft.com/office/officeart/2005/8/layout/orgChart1"/>
    <dgm:cxn modelId="{88E1B4BB-41DD-45B1-ADB8-F19D54AD1374}" type="presParOf" srcId="{1575CE88-5799-4DA5-9BC6-09897D82DF48}" destId="{E2551EF9-F6B8-4D10-ADCE-CA18AB6F6C19}" srcOrd="1" destOrd="0" presId="urn:microsoft.com/office/officeart/2005/8/layout/orgChart1"/>
    <dgm:cxn modelId="{935FABFE-4087-4379-8775-219D3B728972}" type="presParOf" srcId="{E2551EF9-F6B8-4D10-ADCE-CA18AB6F6C19}" destId="{24BF0753-546B-46C2-86A1-B85748862C03}" srcOrd="0" destOrd="0" presId="urn:microsoft.com/office/officeart/2005/8/layout/orgChart1"/>
    <dgm:cxn modelId="{950D1E60-E6D5-4D8B-9618-5EA41DC8C63E}" type="presParOf" srcId="{E2551EF9-F6B8-4D10-ADCE-CA18AB6F6C19}" destId="{8697166C-E6C4-4FAC-9932-876C66AFF466}" srcOrd="1" destOrd="0" presId="urn:microsoft.com/office/officeart/2005/8/layout/orgChart1"/>
    <dgm:cxn modelId="{A002DA58-C89E-4001-A49F-3D4D15AB201E}" type="presParOf" srcId="{8697166C-E6C4-4FAC-9932-876C66AFF466}" destId="{288D150C-2503-4F00-B391-0AABDF1A2B25}" srcOrd="0" destOrd="0" presId="urn:microsoft.com/office/officeart/2005/8/layout/orgChart1"/>
    <dgm:cxn modelId="{94B79263-15A1-4747-9D59-AA707950C338}" type="presParOf" srcId="{288D150C-2503-4F00-B391-0AABDF1A2B25}" destId="{6D82EA0F-014F-47C5-883A-DB387EA6CDAE}" srcOrd="0" destOrd="0" presId="urn:microsoft.com/office/officeart/2005/8/layout/orgChart1"/>
    <dgm:cxn modelId="{508DA3B7-69B8-4C90-B6DF-3709DEA01074}" type="presParOf" srcId="{288D150C-2503-4F00-B391-0AABDF1A2B25}" destId="{F512030C-FBC5-4D3B-A89E-F874314E7A02}" srcOrd="1" destOrd="0" presId="urn:microsoft.com/office/officeart/2005/8/layout/orgChart1"/>
    <dgm:cxn modelId="{B47BA172-9ACA-49E2-9214-3C4370EC21C2}" type="presParOf" srcId="{8697166C-E6C4-4FAC-9932-876C66AFF466}" destId="{EEE75C39-9E08-4ACA-8276-F910AEA8229E}" srcOrd="1" destOrd="0" presId="urn:microsoft.com/office/officeart/2005/8/layout/orgChart1"/>
    <dgm:cxn modelId="{813BC040-2C35-4F90-8BC0-F022ED0D4686}" type="presParOf" srcId="{8697166C-E6C4-4FAC-9932-876C66AFF466}" destId="{FC544A9F-2494-4136-ADB2-6C417971A872}" srcOrd="2" destOrd="0" presId="urn:microsoft.com/office/officeart/2005/8/layout/orgChart1"/>
    <dgm:cxn modelId="{BCF573D3-9210-4C18-82EE-E90AE1603FEB}" type="presParOf" srcId="{E2551EF9-F6B8-4D10-ADCE-CA18AB6F6C19}" destId="{E3C07E89-C63D-4449-9138-B5EE3042C7A8}" srcOrd="2" destOrd="0" presId="urn:microsoft.com/office/officeart/2005/8/layout/orgChart1"/>
    <dgm:cxn modelId="{88D6019D-5871-47CF-929D-335424A58305}" type="presParOf" srcId="{E2551EF9-F6B8-4D10-ADCE-CA18AB6F6C19}" destId="{21231F1F-CAD0-4EB2-A434-8F3A9A0C0BD5}" srcOrd="3" destOrd="0" presId="urn:microsoft.com/office/officeart/2005/8/layout/orgChart1"/>
    <dgm:cxn modelId="{979AC9E5-705D-4531-9883-EEAF13A646BF}" type="presParOf" srcId="{21231F1F-CAD0-4EB2-A434-8F3A9A0C0BD5}" destId="{875569A0-C5C9-4FF7-87B8-70C23F8F6DD7}" srcOrd="0" destOrd="0" presId="urn:microsoft.com/office/officeart/2005/8/layout/orgChart1"/>
    <dgm:cxn modelId="{1FF52806-0BF1-452B-B16B-FB5BBF63BC6F}" type="presParOf" srcId="{875569A0-C5C9-4FF7-87B8-70C23F8F6DD7}" destId="{16466F66-21BE-440C-AFE1-27401EFCD165}" srcOrd="0" destOrd="0" presId="urn:microsoft.com/office/officeart/2005/8/layout/orgChart1"/>
    <dgm:cxn modelId="{4F60A004-1F16-4B8A-8249-74B9BE791624}" type="presParOf" srcId="{875569A0-C5C9-4FF7-87B8-70C23F8F6DD7}" destId="{D53A79D7-A77E-459E-B55D-EB99EE7432DA}" srcOrd="1" destOrd="0" presId="urn:microsoft.com/office/officeart/2005/8/layout/orgChart1"/>
    <dgm:cxn modelId="{973D528E-E2D4-4353-A8CD-DB80740FA17C}" type="presParOf" srcId="{21231F1F-CAD0-4EB2-A434-8F3A9A0C0BD5}" destId="{BC9CDFBC-A3BD-4452-8253-FC21870E061E}" srcOrd="1" destOrd="0" presId="urn:microsoft.com/office/officeart/2005/8/layout/orgChart1"/>
    <dgm:cxn modelId="{5709EE80-5F93-44EC-A140-34CEB2F70106}" type="presParOf" srcId="{21231F1F-CAD0-4EB2-A434-8F3A9A0C0BD5}" destId="{72FF905A-11BA-41AD-B5F5-3E7D0248EAC5}" srcOrd="2" destOrd="0" presId="urn:microsoft.com/office/officeart/2005/8/layout/orgChart1"/>
    <dgm:cxn modelId="{E2139563-B723-43E8-80EB-EEA4CAFF7A02}" type="presParOf" srcId="{E2551EF9-F6B8-4D10-ADCE-CA18AB6F6C19}" destId="{A87082C9-45F3-410C-83B8-8C1C4E93FA1C}" srcOrd="4" destOrd="0" presId="urn:microsoft.com/office/officeart/2005/8/layout/orgChart1"/>
    <dgm:cxn modelId="{5436DB31-BE28-4591-93F8-C010943B83E9}" type="presParOf" srcId="{E2551EF9-F6B8-4D10-ADCE-CA18AB6F6C19}" destId="{5829CBEC-FF79-45A1-A645-BDDC9CDFC4C1}" srcOrd="5" destOrd="0" presId="urn:microsoft.com/office/officeart/2005/8/layout/orgChart1"/>
    <dgm:cxn modelId="{7840A717-B1DE-4A48-B2C2-1BA1970EB97B}" type="presParOf" srcId="{5829CBEC-FF79-45A1-A645-BDDC9CDFC4C1}" destId="{3385CAAA-3FDB-49A4-A502-B8C3537CDCA1}" srcOrd="0" destOrd="0" presId="urn:microsoft.com/office/officeart/2005/8/layout/orgChart1"/>
    <dgm:cxn modelId="{B23151B5-E69E-4254-9455-6A56C13357BD}" type="presParOf" srcId="{3385CAAA-3FDB-49A4-A502-B8C3537CDCA1}" destId="{2841514A-A0DB-45C8-A350-781612C53CB7}" srcOrd="0" destOrd="0" presId="urn:microsoft.com/office/officeart/2005/8/layout/orgChart1"/>
    <dgm:cxn modelId="{CBF65D69-B658-4356-A73A-591936DE29D1}" type="presParOf" srcId="{3385CAAA-3FDB-49A4-A502-B8C3537CDCA1}" destId="{669661FF-25DD-4243-AB62-68FDBEE0DB7C}" srcOrd="1" destOrd="0" presId="urn:microsoft.com/office/officeart/2005/8/layout/orgChart1"/>
    <dgm:cxn modelId="{462FA259-D615-4AC6-9C6E-060D8ADA11D4}" type="presParOf" srcId="{5829CBEC-FF79-45A1-A645-BDDC9CDFC4C1}" destId="{67183722-17A1-4727-AAA6-0A14AB58ED05}" srcOrd="1" destOrd="0" presId="urn:microsoft.com/office/officeart/2005/8/layout/orgChart1"/>
    <dgm:cxn modelId="{B8BE1433-0FA2-4635-BEB9-25A1689B2459}" type="presParOf" srcId="{5829CBEC-FF79-45A1-A645-BDDC9CDFC4C1}" destId="{10FEBB28-75D6-4A28-A5E8-76720F8194DB}" srcOrd="2" destOrd="0" presId="urn:microsoft.com/office/officeart/2005/8/layout/orgChart1"/>
    <dgm:cxn modelId="{5ACFBA89-7392-44CA-B98D-D494F2C050ED}" type="presParOf" srcId="{1575CE88-5799-4DA5-9BC6-09897D82DF48}" destId="{0BA468DC-1E4F-47B6-834D-E8FC08A235B4}" srcOrd="2" destOrd="0" presId="urn:microsoft.com/office/officeart/2005/8/layout/orgChart1"/>
    <dgm:cxn modelId="{DD97EA34-0B35-4F3F-8EF3-71151D6C6CAD}" type="presParOf" srcId="{03C0F827-EF46-4C6A-8A7B-173F39D63C47}" destId="{3ABEBA5C-E863-4AB9-8F74-BB798A86922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D77612E-A601-4FF9-812B-09B5C2A66F77}">
      <dsp:nvSpPr>
        <dsp:cNvPr id="0" name=""/>
        <dsp:cNvSpPr/>
      </dsp:nvSpPr>
      <dsp:spPr>
        <a:xfrm>
          <a:off x="6682450" y="1030092"/>
          <a:ext cx="303359" cy="20809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0942"/>
              </a:lnTo>
              <a:lnTo>
                <a:pt x="303359" y="208094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233BCA5-2C84-43F7-943C-C8F551BB69F0}">
      <dsp:nvSpPr>
        <dsp:cNvPr id="0" name=""/>
        <dsp:cNvSpPr/>
      </dsp:nvSpPr>
      <dsp:spPr>
        <a:xfrm>
          <a:off x="6682450" y="1030092"/>
          <a:ext cx="303359" cy="15059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5952"/>
              </a:lnTo>
              <a:lnTo>
                <a:pt x="303359" y="150595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82577A-DD48-4F68-A560-24C92A32267A}">
      <dsp:nvSpPr>
        <dsp:cNvPr id="0" name=""/>
        <dsp:cNvSpPr/>
      </dsp:nvSpPr>
      <dsp:spPr>
        <a:xfrm>
          <a:off x="6682450" y="1030092"/>
          <a:ext cx="303359" cy="9309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0961"/>
              </a:lnTo>
              <a:lnTo>
                <a:pt x="303359" y="93096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890C3C-0C34-43C6-B53A-43502EC7872E}">
      <dsp:nvSpPr>
        <dsp:cNvPr id="0" name=""/>
        <dsp:cNvSpPr/>
      </dsp:nvSpPr>
      <dsp:spPr>
        <a:xfrm>
          <a:off x="6682450" y="1030092"/>
          <a:ext cx="303359" cy="3559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971"/>
              </a:lnTo>
              <a:lnTo>
                <a:pt x="303359" y="35597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F63975-AD3A-48CE-8A6A-39CA9BB236AA}">
      <dsp:nvSpPr>
        <dsp:cNvPr id="0" name=""/>
        <dsp:cNvSpPr/>
      </dsp:nvSpPr>
      <dsp:spPr>
        <a:xfrm>
          <a:off x="4252389" y="598975"/>
          <a:ext cx="3239019" cy="1369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475"/>
              </a:lnTo>
              <a:lnTo>
                <a:pt x="3239019" y="68475"/>
              </a:lnTo>
              <a:lnTo>
                <a:pt x="3239019" y="13695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00F4B1-0BDD-4045-BB9D-156682492EAA}">
      <dsp:nvSpPr>
        <dsp:cNvPr id="0" name=""/>
        <dsp:cNvSpPr/>
      </dsp:nvSpPr>
      <dsp:spPr>
        <a:xfrm>
          <a:off x="4523104" y="1030092"/>
          <a:ext cx="303359" cy="20801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0126"/>
              </a:lnTo>
              <a:lnTo>
                <a:pt x="303359" y="208012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A01142-F62E-4F09-955A-6EF0C7069331}">
      <dsp:nvSpPr>
        <dsp:cNvPr id="0" name=""/>
        <dsp:cNvSpPr/>
      </dsp:nvSpPr>
      <dsp:spPr>
        <a:xfrm>
          <a:off x="4523104" y="1030092"/>
          <a:ext cx="303359" cy="15059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5952"/>
              </a:lnTo>
              <a:lnTo>
                <a:pt x="303359" y="150595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BD50E-D384-49FE-BB00-71E6AEEEE500}">
      <dsp:nvSpPr>
        <dsp:cNvPr id="0" name=""/>
        <dsp:cNvSpPr/>
      </dsp:nvSpPr>
      <dsp:spPr>
        <a:xfrm>
          <a:off x="4523104" y="1030092"/>
          <a:ext cx="303359" cy="9309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0961"/>
              </a:lnTo>
              <a:lnTo>
                <a:pt x="303359" y="93096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F4E0A2-533F-46EF-B1EF-8466DEC47284}">
      <dsp:nvSpPr>
        <dsp:cNvPr id="0" name=""/>
        <dsp:cNvSpPr/>
      </dsp:nvSpPr>
      <dsp:spPr>
        <a:xfrm>
          <a:off x="4523104" y="1030092"/>
          <a:ext cx="303359" cy="3559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971"/>
              </a:lnTo>
              <a:lnTo>
                <a:pt x="303359" y="35597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136685-5600-4E30-BED0-84E704D24193}">
      <dsp:nvSpPr>
        <dsp:cNvPr id="0" name=""/>
        <dsp:cNvSpPr/>
      </dsp:nvSpPr>
      <dsp:spPr>
        <a:xfrm>
          <a:off x="4252389" y="598975"/>
          <a:ext cx="1079673" cy="1369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475"/>
              </a:lnTo>
              <a:lnTo>
                <a:pt x="1079673" y="68475"/>
              </a:lnTo>
              <a:lnTo>
                <a:pt x="1079673" y="13695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5F37B29-5104-422E-85BD-743A5D3FCBEE}">
      <dsp:nvSpPr>
        <dsp:cNvPr id="0" name=""/>
        <dsp:cNvSpPr/>
      </dsp:nvSpPr>
      <dsp:spPr>
        <a:xfrm>
          <a:off x="2363758" y="1030092"/>
          <a:ext cx="303359" cy="20809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0942"/>
              </a:lnTo>
              <a:lnTo>
                <a:pt x="303359" y="208094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487ED1-854B-4A52-9737-AAF07A5B6561}">
      <dsp:nvSpPr>
        <dsp:cNvPr id="0" name=""/>
        <dsp:cNvSpPr/>
      </dsp:nvSpPr>
      <dsp:spPr>
        <a:xfrm>
          <a:off x="2363758" y="1030092"/>
          <a:ext cx="303359" cy="15059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5952"/>
              </a:lnTo>
              <a:lnTo>
                <a:pt x="303359" y="150595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78C072-8E92-43C4-91B3-F3E661B7ABAC}">
      <dsp:nvSpPr>
        <dsp:cNvPr id="0" name=""/>
        <dsp:cNvSpPr/>
      </dsp:nvSpPr>
      <dsp:spPr>
        <a:xfrm>
          <a:off x="2363758" y="1030092"/>
          <a:ext cx="303359" cy="9309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0961"/>
              </a:lnTo>
              <a:lnTo>
                <a:pt x="303359" y="93096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6A734C-CD98-41BA-B25A-1C4D4AE8317A}">
      <dsp:nvSpPr>
        <dsp:cNvPr id="0" name=""/>
        <dsp:cNvSpPr/>
      </dsp:nvSpPr>
      <dsp:spPr>
        <a:xfrm>
          <a:off x="2363758" y="1030092"/>
          <a:ext cx="303359" cy="3559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971"/>
              </a:lnTo>
              <a:lnTo>
                <a:pt x="303359" y="35597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2DD1E1-B9A1-46FB-97E4-955B61300390}">
      <dsp:nvSpPr>
        <dsp:cNvPr id="0" name=""/>
        <dsp:cNvSpPr/>
      </dsp:nvSpPr>
      <dsp:spPr>
        <a:xfrm>
          <a:off x="3172716" y="598975"/>
          <a:ext cx="1079673" cy="136951"/>
        </a:xfrm>
        <a:custGeom>
          <a:avLst/>
          <a:gdLst/>
          <a:ahLst/>
          <a:cxnLst/>
          <a:rect l="0" t="0" r="0" b="0"/>
          <a:pathLst>
            <a:path>
              <a:moveTo>
                <a:pt x="1079673" y="0"/>
              </a:moveTo>
              <a:lnTo>
                <a:pt x="1079673" y="68475"/>
              </a:lnTo>
              <a:lnTo>
                <a:pt x="0" y="68475"/>
              </a:lnTo>
              <a:lnTo>
                <a:pt x="0" y="13695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7082C9-45F3-410C-83B8-8C1C4E93FA1C}">
      <dsp:nvSpPr>
        <dsp:cNvPr id="0" name=""/>
        <dsp:cNvSpPr/>
      </dsp:nvSpPr>
      <dsp:spPr>
        <a:xfrm>
          <a:off x="204412" y="1030092"/>
          <a:ext cx="303359" cy="15059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5952"/>
              </a:lnTo>
              <a:lnTo>
                <a:pt x="303359" y="150595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C07E89-C63D-4449-9138-B5EE3042C7A8}">
      <dsp:nvSpPr>
        <dsp:cNvPr id="0" name=""/>
        <dsp:cNvSpPr/>
      </dsp:nvSpPr>
      <dsp:spPr>
        <a:xfrm>
          <a:off x="204412" y="1030092"/>
          <a:ext cx="317380" cy="9309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0961"/>
              </a:lnTo>
              <a:lnTo>
                <a:pt x="317380" y="93096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BF0753-546B-46C2-86A1-B85748862C03}">
      <dsp:nvSpPr>
        <dsp:cNvPr id="0" name=""/>
        <dsp:cNvSpPr/>
      </dsp:nvSpPr>
      <dsp:spPr>
        <a:xfrm>
          <a:off x="204412" y="1030092"/>
          <a:ext cx="303359" cy="3559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971"/>
              </a:lnTo>
              <a:lnTo>
                <a:pt x="303359" y="35597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DD77B9-6508-4827-9493-60FB472DE478}">
      <dsp:nvSpPr>
        <dsp:cNvPr id="0" name=""/>
        <dsp:cNvSpPr/>
      </dsp:nvSpPr>
      <dsp:spPr>
        <a:xfrm>
          <a:off x="1013370" y="598975"/>
          <a:ext cx="3239019" cy="136951"/>
        </a:xfrm>
        <a:custGeom>
          <a:avLst/>
          <a:gdLst/>
          <a:ahLst/>
          <a:cxnLst/>
          <a:rect l="0" t="0" r="0" b="0"/>
          <a:pathLst>
            <a:path>
              <a:moveTo>
                <a:pt x="3239019" y="0"/>
              </a:moveTo>
              <a:lnTo>
                <a:pt x="3239019" y="68475"/>
              </a:lnTo>
              <a:lnTo>
                <a:pt x="0" y="68475"/>
              </a:lnTo>
              <a:lnTo>
                <a:pt x="0" y="13695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906B2A-6D0D-4B97-86E9-67AB72BB51C3}">
      <dsp:nvSpPr>
        <dsp:cNvPr id="0" name=""/>
        <dsp:cNvSpPr/>
      </dsp:nvSpPr>
      <dsp:spPr>
        <a:xfrm>
          <a:off x="3354738" y="239915"/>
          <a:ext cx="1795302" cy="359060"/>
        </a:xfrm>
        <a:prstGeom prst="roundRect">
          <a:avLst/>
        </a:prstGeom>
        <a:solidFill>
          <a:schemeClr val="accent6">
            <a:lumMod val="5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 dirty="0">
              <a:solidFill>
                <a:schemeClr val="bg1"/>
              </a:solidFill>
              <a:effectLst/>
              <a:latin typeface="+mn-lt"/>
              <a:ea typeface="+mn-ea"/>
              <a:cs typeface="Iskoola Pota" panose="020B0502040204020203" pitchFamily="34" charset="0"/>
            </a:rPr>
            <a:t>Pet Adoption Website - Phase 1</a:t>
          </a:r>
          <a:endParaRPr lang="en-CA" sz="1000" b="1" kern="1200">
            <a:solidFill>
              <a:schemeClr val="bg1"/>
            </a:solidFill>
            <a:latin typeface="+mn-lt"/>
            <a:ea typeface="+mn-ea"/>
          </a:endParaRPr>
        </a:p>
      </dsp:txBody>
      <dsp:txXfrm>
        <a:off x="3372266" y="257443"/>
        <a:ext cx="1760246" cy="324004"/>
      </dsp:txXfrm>
    </dsp:sp>
    <dsp:sp modelId="{42D1E0BE-354F-4E3C-8806-1977ECF66EA1}">
      <dsp:nvSpPr>
        <dsp:cNvPr id="0" name=""/>
        <dsp:cNvSpPr/>
      </dsp:nvSpPr>
      <dsp:spPr>
        <a:xfrm>
          <a:off x="2173" y="735927"/>
          <a:ext cx="2022394" cy="29416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1. Planning</a:t>
          </a:r>
        </a:p>
      </dsp:txBody>
      <dsp:txXfrm>
        <a:off x="16533" y="750287"/>
        <a:ext cx="1993674" cy="265445"/>
      </dsp:txXfrm>
    </dsp:sp>
    <dsp:sp modelId="{6D82EA0F-014F-47C5-883A-DB387EA6CDAE}">
      <dsp:nvSpPr>
        <dsp:cNvPr id="0" name=""/>
        <dsp:cNvSpPr/>
      </dsp:nvSpPr>
      <dsp:spPr>
        <a:xfrm>
          <a:off x="507771" y="1167043"/>
          <a:ext cx="1752156" cy="438039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</a:rPr>
            <a:t>1.1. Define Project Scope &amp; Requirements</a:t>
          </a:r>
          <a:endParaRPr lang="en-CA" sz="1000" kern="1200">
            <a:solidFill>
              <a:sysClr val="windowText" lastClr="000000"/>
            </a:solidFill>
            <a:latin typeface="+mn-lt"/>
          </a:endParaRPr>
        </a:p>
      </dsp:txBody>
      <dsp:txXfrm>
        <a:off x="529154" y="1188426"/>
        <a:ext cx="1709390" cy="395273"/>
      </dsp:txXfrm>
    </dsp:sp>
    <dsp:sp modelId="{16466F66-21BE-440C-AFE1-27401EFCD165}">
      <dsp:nvSpPr>
        <dsp:cNvPr id="0" name=""/>
        <dsp:cNvSpPr/>
      </dsp:nvSpPr>
      <dsp:spPr>
        <a:xfrm>
          <a:off x="521793" y="174203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1.2. Create Project Timeline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43176" y="1763417"/>
        <a:ext cx="1709390" cy="395273"/>
      </dsp:txXfrm>
    </dsp:sp>
    <dsp:sp modelId="{2841514A-A0DB-45C8-A350-781612C53CB7}">
      <dsp:nvSpPr>
        <dsp:cNvPr id="0" name=""/>
        <dsp:cNvSpPr/>
      </dsp:nvSpPr>
      <dsp:spPr>
        <a:xfrm>
          <a:off x="507771" y="231702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1.3. Allocate Resources &amp; Team Roles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29154" y="2338408"/>
        <a:ext cx="1709390" cy="395273"/>
      </dsp:txXfrm>
    </dsp:sp>
    <dsp:sp modelId="{1BE2E877-A98C-4F5E-B162-7E381A985946}">
      <dsp:nvSpPr>
        <dsp:cNvPr id="0" name=""/>
        <dsp:cNvSpPr/>
      </dsp:nvSpPr>
      <dsp:spPr>
        <a:xfrm>
          <a:off x="2161519" y="735927"/>
          <a:ext cx="2022394" cy="29416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2. Design</a:t>
          </a:r>
        </a:p>
      </dsp:txBody>
      <dsp:txXfrm>
        <a:off x="2175879" y="750287"/>
        <a:ext cx="1993674" cy="265445"/>
      </dsp:txXfrm>
    </dsp:sp>
    <dsp:sp modelId="{6A43EABD-03AA-415F-BE3A-2DD31AB048C5}">
      <dsp:nvSpPr>
        <dsp:cNvPr id="0" name=""/>
        <dsp:cNvSpPr/>
      </dsp:nvSpPr>
      <dsp:spPr>
        <a:xfrm>
          <a:off x="2667117" y="1167043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2.1. Research &amp; Analysis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8500" y="1188426"/>
        <a:ext cx="1709390" cy="395273"/>
      </dsp:txXfrm>
    </dsp:sp>
    <dsp:sp modelId="{19B89C79-DE41-4F48-9743-7325556D13A7}">
      <dsp:nvSpPr>
        <dsp:cNvPr id="0" name=""/>
        <dsp:cNvSpPr/>
      </dsp:nvSpPr>
      <dsp:spPr>
        <a:xfrm>
          <a:off x="2667117" y="174203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2.2. Develop Wireframes &amp; Prototypes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8500" y="1763417"/>
        <a:ext cx="1709390" cy="395273"/>
      </dsp:txXfrm>
    </dsp:sp>
    <dsp:sp modelId="{0E67771F-D6B3-42E0-A4EC-8EA8EA99163C}">
      <dsp:nvSpPr>
        <dsp:cNvPr id="0" name=""/>
        <dsp:cNvSpPr/>
      </dsp:nvSpPr>
      <dsp:spPr>
        <a:xfrm>
          <a:off x="2667117" y="231702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2.3. Design Website Layout &amp; UI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8500" y="2338408"/>
        <a:ext cx="1709390" cy="395273"/>
      </dsp:txXfrm>
    </dsp:sp>
    <dsp:sp modelId="{401C7678-EDD1-48C6-9768-EBF5BECCC531}">
      <dsp:nvSpPr>
        <dsp:cNvPr id="0" name=""/>
        <dsp:cNvSpPr/>
      </dsp:nvSpPr>
      <dsp:spPr>
        <a:xfrm>
          <a:off x="2667117" y="289201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2.4. Create Branding Elements 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8500" y="2913398"/>
        <a:ext cx="1709390" cy="395273"/>
      </dsp:txXfrm>
    </dsp:sp>
    <dsp:sp modelId="{F929D97E-86BE-4488-B496-35906E1F9CAE}">
      <dsp:nvSpPr>
        <dsp:cNvPr id="0" name=""/>
        <dsp:cNvSpPr/>
      </dsp:nvSpPr>
      <dsp:spPr>
        <a:xfrm>
          <a:off x="4320865" y="735927"/>
          <a:ext cx="2022394" cy="29416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 Development</a:t>
          </a:r>
        </a:p>
      </dsp:txBody>
      <dsp:txXfrm>
        <a:off x="4335225" y="750287"/>
        <a:ext cx="1993674" cy="265445"/>
      </dsp:txXfrm>
    </dsp:sp>
    <dsp:sp modelId="{A53EE3FD-0868-455B-8BBA-76212B84AD2F}">
      <dsp:nvSpPr>
        <dsp:cNvPr id="0" name=""/>
        <dsp:cNvSpPr/>
      </dsp:nvSpPr>
      <dsp:spPr>
        <a:xfrm>
          <a:off x="4826463" y="1167043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 Pet Management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47846" y="1188426"/>
        <a:ext cx="1709390" cy="395273"/>
      </dsp:txXfrm>
    </dsp:sp>
    <dsp:sp modelId="{1BB92FE5-CE5A-41FE-B673-C4A4F62BF5AB}">
      <dsp:nvSpPr>
        <dsp:cNvPr id="0" name=""/>
        <dsp:cNvSpPr/>
      </dsp:nvSpPr>
      <dsp:spPr>
        <a:xfrm>
          <a:off x="4826463" y="174203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 Authentication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47846" y="1763417"/>
        <a:ext cx="1709390" cy="395273"/>
      </dsp:txXfrm>
    </dsp:sp>
    <dsp:sp modelId="{B509DCB6-92BF-408D-9332-348533AC8AE4}">
      <dsp:nvSpPr>
        <dsp:cNvPr id="0" name=""/>
        <dsp:cNvSpPr/>
      </dsp:nvSpPr>
      <dsp:spPr>
        <a:xfrm>
          <a:off x="4826463" y="231702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 Pet Browing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47846" y="2338408"/>
        <a:ext cx="1709390" cy="395273"/>
      </dsp:txXfrm>
    </dsp:sp>
    <dsp:sp modelId="{E15D6C05-87C2-4F46-9AA3-4B39FA24F6A2}">
      <dsp:nvSpPr>
        <dsp:cNvPr id="0" name=""/>
        <dsp:cNvSpPr/>
      </dsp:nvSpPr>
      <dsp:spPr>
        <a:xfrm>
          <a:off x="4826463" y="2892015"/>
          <a:ext cx="1753017" cy="436405"/>
        </a:xfrm>
        <a:prstGeom prst="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 Account Management</a:t>
          </a:r>
        </a:p>
      </dsp:txBody>
      <dsp:txXfrm>
        <a:off x="4826463" y="2892015"/>
        <a:ext cx="1753017" cy="436405"/>
      </dsp:txXfrm>
    </dsp:sp>
    <dsp:sp modelId="{0A209B85-31FA-4E41-BE45-2EB0F430555C}">
      <dsp:nvSpPr>
        <dsp:cNvPr id="0" name=""/>
        <dsp:cNvSpPr/>
      </dsp:nvSpPr>
      <dsp:spPr>
        <a:xfrm>
          <a:off x="6480211" y="735927"/>
          <a:ext cx="2022394" cy="29416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4. Testing and Demo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494571" y="750287"/>
        <a:ext cx="1993674" cy="265445"/>
      </dsp:txXfrm>
    </dsp:sp>
    <dsp:sp modelId="{25CBE439-FF8E-48F7-B5EE-F025139ED159}">
      <dsp:nvSpPr>
        <dsp:cNvPr id="0" name=""/>
        <dsp:cNvSpPr/>
      </dsp:nvSpPr>
      <dsp:spPr>
        <a:xfrm>
          <a:off x="6985809" y="1167043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4.1. Functional Testing 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7007192" y="1188426"/>
        <a:ext cx="1709390" cy="395273"/>
      </dsp:txXfrm>
    </dsp:sp>
    <dsp:sp modelId="{340D405E-7980-48FF-92E8-4B1BA0904690}">
      <dsp:nvSpPr>
        <dsp:cNvPr id="0" name=""/>
        <dsp:cNvSpPr/>
      </dsp:nvSpPr>
      <dsp:spPr>
        <a:xfrm>
          <a:off x="6985809" y="174203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4.2. User Acceptance Test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7007192" y="1763417"/>
        <a:ext cx="1709390" cy="395273"/>
      </dsp:txXfrm>
    </dsp:sp>
    <dsp:sp modelId="{16256827-AD03-4423-92C1-0FDBEE3D6F20}">
      <dsp:nvSpPr>
        <dsp:cNvPr id="0" name=""/>
        <dsp:cNvSpPr/>
      </dsp:nvSpPr>
      <dsp:spPr>
        <a:xfrm>
          <a:off x="6985809" y="231702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4.3. Bug Fixing &amp; Re-testing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7007192" y="2338408"/>
        <a:ext cx="1709390" cy="395273"/>
      </dsp:txXfrm>
    </dsp:sp>
    <dsp:sp modelId="{20D7B8A2-4EB4-46B9-936F-BD8D162C4F1E}">
      <dsp:nvSpPr>
        <dsp:cNvPr id="0" name=""/>
        <dsp:cNvSpPr/>
      </dsp:nvSpPr>
      <dsp:spPr>
        <a:xfrm>
          <a:off x="6985809" y="289201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4.4. Demonstration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7007192" y="2913398"/>
        <a:ext cx="1709390" cy="39527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682577A-DD48-4F68-A560-24C92A32267A}">
      <dsp:nvSpPr>
        <dsp:cNvPr id="0" name=""/>
        <dsp:cNvSpPr/>
      </dsp:nvSpPr>
      <dsp:spPr>
        <a:xfrm>
          <a:off x="6504757" y="1009976"/>
          <a:ext cx="295292" cy="9062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6206"/>
              </a:lnTo>
              <a:lnTo>
                <a:pt x="295292" y="90620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890C3C-0C34-43C6-B53A-43502EC7872E}">
      <dsp:nvSpPr>
        <dsp:cNvPr id="0" name=""/>
        <dsp:cNvSpPr/>
      </dsp:nvSpPr>
      <dsp:spPr>
        <a:xfrm>
          <a:off x="6504757" y="1009976"/>
          <a:ext cx="295292" cy="3465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505"/>
              </a:lnTo>
              <a:lnTo>
                <a:pt x="295292" y="34650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F63975-AD3A-48CE-8A6A-39CA9BB236AA}">
      <dsp:nvSpPr>
        <dsp:cNvPr id="0" name=""/>
        <dsp:cNvSpPr/>
      </dsp:nvSpPr>
      <dsp:spPr>
        <a:xfrm>
          <a:off x="4139313" y="590323"/>
          <a:ext cx="3152889" cy="1333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654"/>
              </a:lnTo>
              <a:lnTo>
                <a:pt x="3152889" y="66654"/>
              </a:lnTo>
              <a:lnTo>
                <a:pt x="3152889" y="13330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A01142-F62E-4F09-955A-6EF0C7069331}">
      <dsp:nvSpPr>
        <dsp:cNvPr id="0" name=""/>
        <dsp:cNvSpPr/>
      </dsp:nvSpPr>
      <dsp:spPr>
        <a:xfrm>
          <a:off x="4402830" y="1009976"/>
          <a:ext cx="295292" cy="14659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65907"/>
              </a:lnTo>
              <a:lnTo>
                <a:pt x="295292" y="1465907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BD50E-D384-49FE-BB00-71E6AEEEE500}">
      <dsp:nvSpPr>
        <dsp:cNvPr id="0" name=""/>
        <dsp:cNvSpPr/>
      </dsp:nvSpPr>
      <dsp:spPr>
        <a:xfrm>
          <a:off x="4402830" y="1009976"/>
          <a:ext cx="295292" cy="9062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6206"/>
              </a:lnTo>
              <a:lnTo>
                <a:pt x="295292" y="90620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F4E0A2-533F-46EF-B1EF-8466DEC47284}">
      <dsp:nvSpPr>
        <dsp:cNvPr id="0" name=""/>
        <dsp:cNvSpPr/>
      </dsp:nvSpPr>
      <dsp:spPr>
        <a:xfrm>
          <a:off x="4402830" y="1009976"/>
          <a:ext cx="295292" cy="3465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505"/>
              </a:lnTo>
              <a:lnTo>
                <a:pt x="295292" y="34650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136685-5600-4E30-BED0-84E704D24193}">
      <dsp:nvSpPr>
        <dsp:cNvPr id="0" name=""/>
        <dsp:cNvSpPr/>
      </dsp:nvSpPr>
      <dsp:spPr>
        <a:xfrm>
          <a:off x="4139313" y="590323"/>
          <a:ext cx="1050963" cy="1333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654"/>
              </a:lnTo>
              <a:lnTo>
                <a:pt x="1050963" y="66654"/>
              </a:lnTo>
              <a:lnTo>
                <a:pt x="1050963" y="13330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487ED1-854B-4A52-9737-AAF07A5B6561}">
      <dsp:nvSpPr>
        <dsp:cNvPr id="0" name=""/>
        <dsp:cNvSpPr/>
      </dsp:nvSpPr>
      <dsp:spPr>
        <a:xfrm>
          <a:off x="2300903" y="1009976"/>
          <a:ext cx="295292" cy="14659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65907"/>
              </a:lnTo>
              <a:lnTo>
                <a:pt x="295292" y="1465907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78C072-8E92-43C4-91B3-F3E661B7ABAC}">
      <dsp:nvSpPr>
        <dsp:cNvPr id="0" name=""/>
        <dsp:cNvSpPr/>
      </dsp:nvSpPr>
      <dsp:spPr>
        <a:xfrm>
          <a:off x="2300903" y="1009976"/>
          <a:ext cx="295292" cy="9062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6206"/>
              </a:lnTo>
              <a:lnTo>
                <a:pt x="295292" y="90620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6A734C-CD98-41BA-B25A-1C4D4AE8317A}">
      <dsp:nvSpPr>
        <dsp:cNvPr id="0" name=""/>
        <dsp:cNvSpPr/>
      </dsp:nvSpPr>
      <dsp:spPr>
        <a:xfrm>
          <a:off x="2300903" y="1009976"/>
          <a:ext cx="295292" cy="3465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505"/>
              </a:lnTo>
              <a:lnTo>
                <a:pt x="295292" y="34650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2DD1E1-B9A1-46FB-97E4-955B61300390}">
      <dsp:nvSpPr>
        <dsp:cNvPr id="0" name=""/>
        <dsp:cNvSpPr/>
      </dsp:nvSpPr>
      <dsp:spPr>
        <a:xfrm>
          <a:off x="3088350" y="590323"/>
          <a:ext cx="1050963" cy="133309"/>
        </a:xfrm>
        <a:custGeom>
          <a:avLst/>
          <a:gdLst/>
          <a:ahLst/>
          <a:cxnLst/>
          <a:rect l="0" t="0" r="0" b="0"/>
          <a:pathLst>
            <a:path>
              <a:moveTo>
                <a:pt x="1050963" y="0"/>
              </a:moveTo>
              <a:lnTo>
                <a:pt x="1050963" y="66654"/>
              </a:lnTo>
              <a:lnTo>
                <a:pt x="0" y="66654"/>
              </a:lnTo>
              <a:lnTo>
                <a:pt x="0" y="13330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7082C9-45F3-410C-83B8-8C1C4E93FA1C}">
      <dsp:nvSpPr>
        <dsp:cNvPr id="0" name=""/>
        <dsp:cNvSpPr/>
      </dsp:nvSpPr>
      <dsp:spPr>
        <a:xfrm>
          <a:off x="198977" y="1009976"/>
          <a:ext cx="295292" cy="14659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65907"/>
              </a:lnTo>
              <a:lnTo>
                <a:pt x="295292" y="1465907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C07E89-C63D-4449-9138-B5EE3042C7A8}">
      <dsp:nvSpPr>
        <dsp:cNvPr id="0" name=""/>
        <dsp:cNvSpPr/>
      </dsp:nvSpPr>
      <dsp:spPr>
        <a:xfrm>
          <a:off x="198977" y="1009976"/>
          <a:ext cx="308940" cy="9062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6206"/>
              </a:lnTo>
              <a:lnTo>
                <a:pt x="308940" y="90620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BF0753-546B-46C2-86A1-B85748862C03}">
      <dsp:nvSpPr>
        <dsp:cNvPr id="0" name=""/>
        <dsp:cNvSpPr/>
      </dsp:nvSpPr>
      <dsp:spPr>
        <a:xfrm>
          <a:off x="198977" y="1009976"/>
          <a:ext cx="295292" cy="3465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505"/>
              </a:lnTo>
              <a:lnTo>
                <a:pt x="295292" y="34650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DD77B9-6508-4827-9493-60FB472DE478}">
      <dsp:nvSpPr>
        <dsp:cNvPr id="0" name=""/>
        <dsp:cNvSpPr/>
      </dsp:nvSpPr>
      <dsp:spPr>
        <a:xfrm>
          <a:off x="986423" y="590323"/>
          <a:ext cx="3152889" cy="133309"/>
        </a:xfrm>
        <a:custGeom>
          <a:avLst/>
          <a:gdLst/>
          <a:ahLst/>
          <a:cxnLst/>
          <a:rect l="0" t="0" r="0" b="0"/>
          <a:pathLst>
            <a:path>
              <a:moveTo>
                <a:pt x="3152889" y="0"/>
              </a:moveTo>
              <a:lnTo>
                <a:pt x="3152889" y="66654"/>
              </a:lnTo>
              <a:lnTo>
                <a:pt x="0" y="66654"/>
              </a:lnTo>
              <a:lnTo>
                <a:pt x="0" y="13330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906B2A-6D0D-4B97-86E9-67AB72BB51C3}">
      <dsp:nvSpPr>
        <dsp:cNvPr id="0" name=""/>
        <dsp:cNvSpPr/>
      </dsp:nvSpPr>
      <dsp:spPr>
        <a:xfrm>
          <a:off x="3265531" y="240810"/>
          <a:ext cx="1747563" cy="349512"/>
        </a:xfrm>
        <a:prstGeom prst="roundRect">
          <a:avLst/>
        </a:prstGeom>
        <a:solidFill>
          <a:schemeClr val="accent6">
            <a:lumMod val="5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chemeClr val="bg1"/>
              </a:solidFill>
              <a:latin typeface="+mn-lt"/>
              <a:ea typeface="+mn-ea"/>
            </a:rPr>
            <a:t>Phase 3 - Development</a:t>
          </a:r>
        </a:p>
      </dsp:txBody>
      <dsp:txXfrm>
        <a:off x="3282593" y="257872"/>
        <a:ext cx="1713439" cy="315388"/>
      </dsp:txXfrm>
    </dsp:sp>
    <dsp:sp modelId="{42D1E0BE-354F-4E3C-8806-1977ECF66EA1}">
      <dsp:nvSpPr>
        <dsp:cNvPr id="0" name=""/>
        <dsp:cNvSpPr/>
      </dsp:nvSpPr>
      <dsp:spPr>
        <a:xfrm>
          <a:off x="2115" y="723633"/>
          <a:ext cx="1968616" cy="286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3.1. Account Management</a:t>
          </a:r>
        </a:p>
      </dsp:txBody>
      <dsp:txXfrm>
        <a:off x="16093" y="737611"/>
        <a:ext cx="1940660" cy="258387"/>
      </dsp:txXfrm>
    </dsp:sp>
    <dsp:sp modelId="{6D82EA0F-014F-47C5-883A-DB387EA6CDAE}">
      <dsp:nvSpPr>
        <dsp:cNvPr id="0" name=""/>
        <dsp:cNvSpPr/>
      </dsp:nvSpPr>
      <dsp:spPr>
        <a:xfrm>
          <a:off x="494269" y="1143286"/>
          <a:ext cx="1705564" cy="426391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 dirty="0">
              <a:solidFill>
                <a:sysClr val="windowText" lastClr="000000"/>
              </a:solidFill>
            </a:rPr>
            <a:t>3.1.1. Edit Profile Name</a:t>
          </a:r>
          <a:endParaRPr lang="en-CA" sz="1000" kern="1200">
            <a:solidFill>
              <a:sysClr val="windowText" lastClr="000000"/>
            </a:solidFill>
            <a:latin typeface="+mn-lt"/>
          </a:endParaRPr>
        </a:p>
      </dsp:txBody>
      <dsp:txXfrm>
        <a:off x="515084" y="1164101"/>
        <a:ext cx="1663934" cy="384761"/>
      </dsp:txXfrm>
    </dsp:sp>
    <dsp:sp modelId="{16466F66-21BE-440C-AFE1-27401EFCD165}">
      <dsp:nvSpPr>
        <dsp:cNvPr id="0" name=""/>
        <dsp:cNvSpPr/>
      </dsp:nvSpPr>
      <dsp:spPr>
        <a:xfrm>
          <a:off x="507918" y="1702987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28733" y="1723802"/>
        <a:ext cx="1663934" cy="384761"/>
      </dsp:txXfrm>
    </dsp:sp>
    <dsp:sp modelId="{2841514A-A0DB-45C8-A350-781612C53CB7}">
      <dsp:nvSpPr>
        <dsp:cNvPr id="0" name=""/>
        <dsp:cNvSpPr/>
      </dsp:nvSpPr>
      <dsp:spPr>
        <a:xfrm>
          <a:off x="494269" y="2262688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15084" y="2283503"/>
        <a:ext cx="1663934" cy="384761"/>
      </dsp:txXfrm>
    </dsp:sp>
    <dsp:sp modelId="{1BE2E877-A98C-4F5E-B162-7E381A985946}">
      <dsp:nvSpPr>
        <dsp:cNvPr id="0" name=""/>
        <dsp:cNvSpPr/>
      </dsp:nvSpPr>
      <dsp:spPr>
        <a:xfrm>
          <a:off x="2104042" y="723633"/>
          <a:ext cx="1968616" cy="286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3.2. Pet Browsing</a:t>
          </a:r>
        </a:p>
      </dsp:txBody>
      <dsp:txXfrm>
        <a:off x="2118020" y="737611"/>
        <a:ext cx="1940660" cy="258387"/>
      </dsp:txXfrm>
    </dsp:sp>
    <dsp:sp modelId="{6A43EABD-03AA-415F-BE3A-2DD31AB048C5}">
      <dsp:nvSpPr>
        <dsp:cNvPr id="0" name=""/>
        <dsp:cNvSpPr/>
      </dsp:nvSpPr>
      <dsp:spPr>
        <a:xfrm>
          <a:off x="2596196" y="1143286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17011" y="1164101"/>
        <a:ext cx="1663934" cy="384761"/>
      </dsp:txXfrm>
    </dsp:sp>
    <dsp:sp modelId="{19B89C79-DE41-4F48-9743-7325556D13A7}">
      <dsp:nvSpPr>
        <dsp:cNvPr id="0" name=""/>
        <dsp:cNvSpPr/>
      </dsp:nvSpPr>
      <dsp:spPr>
        <a:xfrm>
          <a:off x="2596196" y="1702987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17011" y="1723802"/>
        <a:ext cx="1663934" cy="384761"/>
      </dsp:txXfrm>
    </dsp:sp>
    <dsp:sp modelId="{0E67771F-D6B3-42E0-A4EC-8EA8EA99163C}">
      <dsp:nvSpPr>
        <dsp:cNvPr id="0" name=""/>
        <dsp:cNvSpPr/>
      </dsp:nvSpPr>
      <dsp:spPr>
        <a:xfrm>
          <a:off x="2596196" y="2262688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Accessing Pet Details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17011" y="2283503"/>
        <a:ext cx="1663934" cy="384761"/>
      </dsp:txXfrm>
    </dsp:sp>
    <dsp:sp modelId="{F929D97E-86BE-4488-B496-35906E1F9CAE}">
      <dsp:nvSpPr>
        <dsp:cNvPr id="0" name=""/>
        <dsp:cNvSpPr/>
      </dsp:nvSpPr>
      <dsp:spPr>
        <a:xfrm>
          <a:off x="4205968" y="723633"/>
          <a:ext cx="1968616" cy="286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3.3. Pet Management</a:t>
          </a:r>
        </a:p>
      </dsp:txBody>
      <dsp:txXfrm>
        <a:off x="4219946" y="737611"/>
        <a:ext cx="1940660" cy="258387"/>
      </dsp:txXfrm>
    </dsp:sp>
    <dsp:sp modelId="{A53EE3FD-0868-455B-8BBA-76212B84AD2F}">
      <dsp:nvSpPr>
        <dsp:cNvPr id="0" name=""/>
        <dsp:cNvSpPr/>
      </dsp:nvSpPr>
      <dsp:spPr>
        <a:xfrm>
          <a:off x="4698122" y="1143286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718937" y="1164101"/>
        <a:ext cx="1663934" cy="384761"/>
      </dsp:txXfrm>
    </dsp:sp>
    <dsp:sp modelId="{1BB92FE5-CE5A-41FE-B673-C4A4F62BF5AB}">
      <dsp:nvSpPr>
        <dsp:cNvPr id="0" name=""/>
        <dsp:cNvSpPr/>
      </dsp:nvSpPr>
      <dsp:spPr>
        <a:xfrm>
          <a:off x="4698122" y="1702987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718937" y="1723802"/>
        <a:ext cx="1663934" cy="384761"/>
      </dsp:txXfrm>
    </dsp:sp>
    <dsp:sp modelId="{B509DCB6-92BF-408D-9332-348533AC8AE4}">
      <dsp:nvSpPr>
        <dsp:cNvPr id="0" name=""/>
        <dsp:cNvSpPr/>
      </dsp:nvSpPr>
      <dsp:spPr>
        <a:xfrm>
          <a:off x="4698122" y="2262688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718937" y="2283503"/>
        <a:ext cx="1663934" cy="384761"/>
      </dsp:txXfrm>
    </dsp:sp>
    <dsp:sp modelId="{0A209B85-31FA-4E41-BE45-2EB0F430555C}">
      <dsp:nvSpPr>
        <dsp:cNvPr id="0" name=""/>
        <dsp:cNvSpPr/>
      </dsp:nvSpPr>
      <dsp:spPr>
        <a:xfrm>
          <a:off x="6307895" y="723633"/>
          <a:ext cx="1968616" cy="286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3.4. Authentication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321873" y="737611"/>
        <a:ext cx="1940660" cy="258387"/>
      </dsp:txXfrm>
    </dsp:sp>
    <dsp:sp modelId="{25CBE439-FF8E-48F7-B5EE-F025139ED159}">
      <dsp:nvSpPr>
        <dsp:cNvPr id="0" name=""/>
        <dsp:cNvSpPr/>
      </dsp:nvSpPr>
      <dsp:spPr>
        <a:xfrm>
          <a:off x="6800049" y="1143286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3.4.1. Login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820864" y="1164101"/>
        <a:ext cx="1663934" cy="384761"/>
      </dsp:txXfrm>
    </dsp:sp>
    <dsp:sp modelId="{340D405E-7980-48FF-92E8-4B1BA0904690}">
      <dsp:nvSpPr>
        <dsp:cNvPr id="0" name=""/>
        <dsp:cNvSpPr/>
      </dsp:nvSpPr>
      <dsp:spPr>
        <a:xfrm>
          <a:off x="6800049" y="1702987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3.4.2. Registration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820864" y="1723802"/>
        <a:ext cx="1663934" cy="384761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682577A-DD48-4F68-A560-24C92A32267A}">
      <dsp:nvSpPr>
        <dsp:cNvPr id="0" name=""/>
        <dsp:cNvSpPr/>
      </dsp:nvSpPr>
      <dsp:spPr>
        <a:xfrm>
          <a:off x="6504757" y="1009976"/>
          <a:ext cx="295292" cy="9062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6206"/>
              </a:lnTo>
              <a:lnTo>
                <a:pt x="295292" y="90620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890C3C-0C34-43C6-B53A-43502EC7872E}">
      <dsp:nvSpPr>
        <dsp:cNvPr id="0" name=""/>
        <dsp:cNvSpPr/>
      </dsp:nvSpPr>
      <dsp:spPr>
        <a:xfrm>
          <a:off x="6504757" y="1009976"/>
          <a:ext cx="295292" cy="3465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505"/>
              </a:lnTo>
              <a:lnTo>
                <a:pt x="295292" y="34650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F63975-AD3A-48CE-8A6A-39CA9BB236AA}">
      <dsp:nvSpPr>
        <dsp:cNvPr id="0" name=""/>
        <dsp:cNvSpPr/>
      </dsp:nvSpPr>
      <dsp:spPr>
        <a:xfrm>
          <a:off x="4139313" y="590323"/>
          <a:ext cx="3152889" cy="1333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654"/>
              </a:lnTo>
              <a:lnTo>
                <a:pt x="3152889" y="66654"/>
              </a:lnTo>
              <a:lnTo>
                <a:pt x="3152889" y="13330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A01142-F62E-4F09-955A-6EF0C7069331}">
      <dsp:nvSpPr>
        <dsp:cNvPr id="0" name=""/>
        <dsp:cNvSpPr/>
      </dsp:nvSpPr>
      <dsp:spPr>
        <a:xfrm>
          <a:off x="4402830" y="1009976"/>
          <a:ext cx="295292" cy="14659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65907"/>
              </a:lnTo>
              <a:lnTo>
                <a:pt x="295292" y="1465907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BD50E-D384-49FE-BB00-71E6AEEEE500}">
      <dsp:nvSpPr>
        <dsp:cNvPr id="0" name=""/>
        <dsp:cNvSpPr/>
      </dsp:nvSpPr>
      <dsp:spPr>
        <a:xfrm>
          <a:off x="4402830" y="1009976"/>
          <a:ext cx="295292" cy="9062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6206"/>
              </a:lnTo>
              <a:lnTo>
                <a:pt x="295292" y="90620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F4E0A2-533F-46EF-B1EF-8466DEC47284}">
      <dsp:nvSpPr>
        <dsp:cNvPr id="0" name=""/>
        <dsp:cNvSpPr/>
      </dsp:nvSpPr>
      <dsp:spPr>
        <a:xfrm>
          <a:off x="4402830" y="1009976"/>
          <a:ext cx="295292" cy="3465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505"/>
              </a:lnTo>
              <a:lnTo>
                <a:pt x="295292" y="34650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136685-5600-4E30-BED0-84E704D24193}">
      <dsp:nvSpPr>
        <dsp:cNvPr id="0" name=""/>
        <dsp:cNvSpPr/>
      </dsp:nvSpPr>
      <dsp:spPr>
        <a:xfrm>
          <a:off x="4139313" y="590323"/>
          <a:ext cx="1050963" cy="1333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654"/>
              </a:lnTo>
              <a:lnTo>
                <a:pt x="1050963" y="66654"/>
              </a:lnTo>
              <a:lnTo>
                <a:pt x="1050963" y="13330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487ED1-854B-4A52-9737-AAF07A5B6561}">
      <dsp:nvSpPr>
        <dsp:cNvPr id="0" name=""/>
        <dsp:cNvSpPr/>
      </dsp:nvSpPr>
      <dsp:spPr>
        <a:xfrm>
          <a:off x="2300903" y="1009976"/>
          <a:ext cx="295292" cy="14659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65907"/>
              </a:lnTo>
              <a:lnTo>
                <a:pt x="295292" y="1465907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78C072-8E92-43C4-91B3-F3E661B7ABAC}">
      <dsp:nvSpPr>
        <dsp:cNvPr id="0" name=""/>
        <dsp:cNvSpPr/>
      </dsp:nvSpPr>
      <dsp:spPr>
        <a:xfrm>
          <a:off x="2300903" y="1009976"/>
          <a:ext cx="295292" cy="9062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6206"/>
              </a:lnTo>
              <a:lnTo>
                <a:pt x="295292" y="90620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6A734C-CD98-41BA-B25A-1C4D4AE8317A}">
      <dsp:nvSpPr>
        <dsp:cNvPr id="0" name=""/>
        <dsp:cNvSpPr/>
      </dsp:nvSpPr>
      <dsp:spPr>
        <a:xfrm>
          <a:off x="2300903" y="1009976"/>
          <a:ext cx="295292" cy="3465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505"/>
              </a:lnTo>
              <a:lnTo>
                <a:pt x="295292" y="34650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2DD1E1-B9A1-46FB-97E4-955B61300390}">
      <dsp:nvSpPr>
        <dsp:cNvPr id="0" name=""/>
        <dsp:cNvSpPr/>
      </dsp:nvSpPr>
      <dsp:spPr>
        <a:xfrm>
          <a:off x="3088350" y="590323"/>
          <a:ext cx="1050963" cy="133309"/>
        </a:xfrm>
        <a:custGeom>
          <a:avLst/>
          <a:gdLst/>
          <a:ahLst/>
          <a:cxnLst/>
          <a:rect l="0" t="0" r="0" b="0"/>
          <a:pathLst>
            <a:path>
              <a:moveTo>
                <a:pt x="1050963" y="0"/>
              </a:moveTo>
              <a:lnTo>
                <a:pt x="1050963" y="66654"/>
              </a:lnTo>
              <a:lnTo>
                <a:pt x="0" y="66654"/>
              </a:lnTo>
              <a:lnTo>
                <a:pt x="0" y="13330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7082C9-45F3-410C-83B8-8C1C4E93FA1C}">
      <dsp:nvSpPr>
        <dsp:cNvPr id="0" name=""/>
        <dsp:cNvSpPr/>
      </dsp:nvSpPr>
      <dsp:spPr>
        <a:xfrm>
          <a:off x="198977" y="1009976"/>
          <a:ext cx="295292" cy="14659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65907"/>
              </a:lnTo>
              <a:lnTo>
                <a:pt x="295292" y="1465907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C07E89-C63D-4449-9138-B5EE3042C7A8}">
      <dsp:nvSpPr>
        <dsp:cNvPr id="0" name=""/>
        <dsp:cNvSpPr/>
      </dsp:nvSpPr>
      <dsp:spPr>
        <a:xfrm>
          <a:off x="198977" y="1009976"/>
          <a:ext cx="308940" cy="9062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6206"/>
              </a:lnTo>
              <a:lnTo>
                <a:pt x="308940" y="906206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BF0753-546B-46C2-86A1-B85748862C03}">
      <dsp:nvSpPr>
        <dsp:cNvPr id="0" name=""/>
        <dsp:cNvSpPr/>
      </dsp:nvSpPr>
      <dsp:spPr>
        <a:xfrm>
          <a:off x="198977" y="1009976"/>
          <a:ext cx="295292" cy="3465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505"/>
              </a:lnTo>
              <a:lnTo>
                <a:pt x="295292" y="34650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DD77B9-6508-4827-9493-60FB472DE478}">
      <dsp:nvSpPr>
        <dsp:cNvPr id="0" name=""/>
        <dsp:cNvSpPr/>
      </dsp:nvSpPr>
      <dsp:spPr>
        <a:xfrm>
          <a:off x="986423" y="590323"/>
          <a:ext cx="3152889" cy="133309"/>
        </a:xfrm>
        <a:custGeom>
          <a:avLst/>
          <a:gdLst/>
          <a:ahLst/>
          <a:cxnLst/>
          <a:rect l="0" t="0" r="0" b="0"/>
          <a:pathLst>
            <a:path>
              <a:moveTo>
                <a:pt x="3152889" y="0"/>
              </a:moveTo>
              <a:lnTo>
                <a:pt x="3152889" y="66654"/>
              </a:lnTo>
              <a:lnTo>
                <a:pt x="0" y="66654"/>
              </a:lnTo>
              <a:lnTo>
                <a:pt x="0" y="13330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906B2A-6D0D-4B97-86E9-67AB72BB51C3}">
      <dsp:nvSpPr>
        <dsp:cNvPr id="0" name=""/>
        <dsp:cNvSpPr/>
      </dsp:nvSpPr>
      <dsp:spPr>
        <a:xfrm>
          <a:off x="3265531" y="240810"/>
          <a:ext cx="1747563" cy="349512"/>
        </a:xfrm>
        <a:prstGeom prst="roundRect">
          <a:avLst/>
        </a:prstGeom>
        <a:solidFill>
          <a:schemeClr val="accent6">
            <a:lumMod val="5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chemeClr val="bg1"/>
              </a:solidFill>
              <a:latin typeface="+mn-lt"/>
              <a:ea typeface="+mn-ea"/>
            </a:rPr>
            <a:t>Development</a:t>
          </a:r>
        </a:p>
      </dsp:txBody>
      <dsp:txXfrm>
        <a:off x="3282593" y="257872"/>
        <a:ext cx="1713439" cy="315388"/>
      </dsp:txXfrm>
    </dsp:sp>
    <dsp:sp modelId="{42D1E0BE-354F-4E3C-8806-1977ECF66EA1}">
      <dsp:nvSpPr>
        <dsp:cNvPr id="0" name=""/>
        <dsp:cNvSpPr/>
      </dsp:nvSpPr>
      <dsp:spPr>
        <a:xfrm>
          <a:off x="2115" y="723633"/>
          <a:ext cx="1968616" cy="286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3.1. Account Management</a:t>
          </a:r>
        </a:p>
      </dsp:txBody>
      <dsp:txXfrm>
        <a:off x="16093" y="737611"/>
        <a:ext cx="1940660" cy="258387"/>
      </dsp:txXfrm>
    </dsp:sp>
    <dsp:sp modelId="{6D82EA0F-014F-47C5-883A-DB387EA6CDAE}">
      <dsp:nvSpPr>
        <dsp:cNvPr id="0" name=""/>
        <dsp:cNvSpPr/>
      </dsp:nvSpPr>
      <dsp:spPr>
        <a:xfrm>
          <a:off x="494269" y="1143286"/>
          <a:ext cx="1705564" cy="426391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 dirty="0">
              <a:solidFill>
                <a:sysClr val="windowText" lastClr="000000"/>
              </a:solidFill>
            </a:rPr>
            <a:t>3.1.1. Edit Profile Name</a:t>
          </a:r>
          <a:endParaRPr lang="en-CA" sz="1000" kern="1200">
            <a:solidFill>
              <a:sysClr val="windowText" lastClr="000000"/>
            </a:solidFill>
            <a:latin typeface="+mn-lt"/>
          </a:endParaRPr>
        </a:p>
      </dsp:txBody>
      <dsp:txXfrm>
        <a:off x="515084" y="1164101"/>
        <a:ext cx="1663934" cy="384761"/>
      </dsp:txXfrm>
    </dsp:sp>
    <dsp:sp modelId="{16466F66-21BE-440C-AFE1-27401EFCD165}">
      <dsp:nvSpPr>
        <dsp:cNvPr id="0" name=""/>
        <dsp:cNvSpPr/>
      </dsp:nvSpPr>
      <dsp:spPr>
        <a:xfrm>
          <a:off x="507918" y="1702987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28733" y="1723802"/>
        <a:ext cx="1663934" cy="384761"/>
      </dsp:txXfrm>
    </dsp:sp>
    <dsp:sp modelId="{2841514A-A0DB-45C8-A350-781612C53CB7}">
      <dsp:nvSpPr>
        <dsp:cNvPr id="0" name=""/>
        <dsp:cNvSpPr/>
      </dsp:nvSpPr>
      <dsp:spPr>
        <a:xfrm>
          <a:off x="494269" y="2262688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15084" y="2283503"/>
        <a:ext cx="1663934" cy="384761"/>
      </dsp:txXfrm>
    </dsp:sp>
    <dsp:sp modelId="{1BE2E877-A98C-4F5E-B162-7E381A985946}">
      <dsp:nvSpPr>
        <dsp:cNvPr id="0" name=""/>
        <dsp:cNvSpPr/>
      </dsp:nvSpPr>
      <dsp:spPr>
        <a:xfrm>
          <a:off x="2104042" y="723633"/>
          <a:ext cx="1968616" cy="286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3.2. Pet Browsing</a:t>
          </a:r>
        </a:p>
      </dsp:txBody>
      <dsp:txXfrm>
        <a:off x="2118020" y="737611"/>
        <a:ext cx="1940660" cy="258387"/>
      </dsp:txXfrm>
    </dsp:sp>
    <dsp:sp modelId="{6A43EABD-03AA-415F-BE3A-2DD31AB048C5}">
      <dsp:nvSpPr>
        <dsp:cNvPr id="0" name=""/>
        <dsp:cNvSpPr/>
      </dsp:nvSpPr>
      <dsp:spPr>
        <a:xfrm>
          <a:off x="2596196" y="1143286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17011" y="1164101"/>
        <a:ext cx="1663934" cy="384761"/>
      </dsp:txXfrm>
    </dsp:sp>
    <dsp:sp modelId="{19B89C79-DE41-4F48-9743-7325556D13A7}">
      <dsp:nvSpPr>
        <dsp:cNvPr id="0" name=""/>
        <dsp:cNvSpPr/>
      </dsp:nvSpPr>
      <dsp:spPr>
        <a:xfrm>
          <a:off x="2596196" y="1702987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17011" y="1723802"/>
        <a:ext cx="1663934" cy="384761"/>
      </dsp:txXfrm>
    </dsp:sp>
    <dsp:sp modelId="{0E67771F-D6B3-42E0-A4EC-8EA8EA99163C}">
      <dsp:nvSpPr>
        <dsp:cNvPr id="0" name=""/>
        <dsp:cNvSpPr/>
      </dsp:nvSpPr>
      <dsp:spPr>
        <a:xfrm>
          <a:off x="2596196" y="2262688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Accessing Pet Details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17011" y="2283503"/>
        <a:ext cx="1663934" cy="384761"/>
      </dsp:txXfrm>
    </dsp:sp>
    <dsp:sp modelId="{F929D97E-86BE-4488-B496-35906E1F9CAE}">
      <dsp:nvSpPr>
        <dsp:cNvPr id="0" name=""/>
        <dsp:cNvSpPr/>
      </dsp:nvSpPr>
      <dsp:spPr>
        <a:xfrm>
          <a:off x="4205968" y="723633"/>
          <a:ext cx="1968616" cy="286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3.3. Pet Management</a:t>
          </a:r>
        </a:p>
      </dsp:txBody>
      <dsp:txXfrm>
        <a:off x="4219946" y="737611"/>
        <a:ext cx="1940660" cy="258387"/>
      </dsp:txXfrm>
    </dsp:sp>
    <dsp:sp modelId="{A53EE3FD-0868-455B-8BBA-76212B84AD2F}">
      <dsp:nvSpPr>
        <dsp:cNvPr id="0" name=""/>
        <dsp:cNvSpPr/>
      </dsp:nvSpPr>
      <dsp:spPr>
        <a:xfrm>
          <a:off x="4698122" y="1143286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718937" y="1164101"/>
        <a:ext cx="1663934" cy="384761"/>
      </dsp:txXfrm>
    </dsp:sp>
    <dsp:sp modelId="{1BB92FE5-CE5A-41FE-B673-C4A4F62BF5AB}">
      <dsp:nvSpPr>
        <dsp:cNvPr id="0" name=""/>
        <dsp:cNvSpPr/>
      </dsp:nvSpPr>
      <dsp:spPr>
        <a:xfrm>
          <a:off x="4698122" y="1702987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718937" y="1723802"/>
        <a:ext cx="1663934" cy="384761"/>
      </dsp:txXfrm>
    </dsp:sp>
    <dsp:sp modelId="{B509DCB6-92BF-408D-9332-348533AC8AE4}">
      <dsp:nvSpPr>
        <dsp:cNvPr id="0" name=""/>
        <dsp:cNvSpPr/>
      </dsp:nvSpPr>
      <dsp:spPr>
        <a:xfrm>
          <a:off x="4698122" y="2262688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718937" y="2283503"/>
        <a:ext cx="1663934" cy="384761"/>
      </dsp:txXfrm>
    </dsp:sp>
    <dsp:sp modelId="{0A209B85-31FA-4E41-BE45-2EB0F430555C}">
      <dsp:nvSpPr>
        <dsp:cNvPr id="0" name=""/>
        <dsp:cNvSpPr/>
      </dsp:nvSpPr>
      <dsp:spPr>
        <a:xfrm>
          <a:off x="6307895" y="723633"/>
          <a:ext cx="1968616" cy="28634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3.4. Authentication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321873" y="737611"/>
        <a:ext cx="1940660" cy="258387"/>
      </dsp:txXfrm>
    </dsp:sp>
    <dsp:sp modelId="{25CBE439-FF8E-48F7-B5EE-F025139ED159}">
      <dsp:nvSpPr>
        <dsp:cNvPr id="0" name=""/>
        <dsp:cNvSpPr/>
      </dsp:nvSpPr>
      <dsp:spPr>
        <a:xfrm>
          <a:off x="6800049" y="1143286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3.4.1. Login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820864" y="1164101"/>
        <a:ext cx="1663934" cy="384761"/>
      </dsp:txXfrm>
    </dsp:sp>
    <dsp:sp modelId="{340D405E-7980-48FF-92E8-4B1BA0904690}">
      <dsp:nvSpPr>
        <dsp:cNvPr id="0" name=""/>
        <dsp:cNvSpPr/>
      </dsp:nvSpPr>
      <dsp:spPr>
        <a:xfrm>
          <a:off x="6800049" y="1702987"/>
          <a:ext cx="1705564" cy="426391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3.4.2. Registration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820864" y="1723802"/>
        <a:ext cx="1663934" cy="384761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682577A-DD48-4F68-A560-24C92A32267A}">
      <dsp:nvSpPr>
        <dsp:cNvPr id="0" name=""/>
        <dsp:cNvSpPr/>
      </dsp:nvSpPr>
      <dsp:spPr>
        <a:xfrm>
          <a:off x="6682450" y="1029932"/>
          <a:ext cx="303359" cy="9309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0961"/>
              </a:lnTo>
              <a:lnTo>
                <a:pt x="303359" y="93096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890C3C-0C34-43C6-B53A-43502EC7872E}">
      <dsp:nvSpPr>
        <dsp:cNvPr id="0" name=""/>
        <dsp:cNvSpPr/>
      </dsp:nvSpPr>
      <dsp:spPr>
        <a:xfrm>
          <a:off x="6682450" y="1029932"/>
          <a:ext cx="303359" cy="3559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971"/>
              </a:lnTo>
              <a:lnTo>
                <a:pt x="303359" y="35597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F63975-AD3A-48CE-8A6A-39CA9BB236AA}">
      <dsp:nvSpPr>
        <dsp:cNvPr id="0" name=""/>
        <dsp:cNvSpPr/>
      </dsp:nvSpPr>
      <dsp:spPr>
        <a:xfrm>
          <a:off x="4252389" y="598816"/>
          <a:ext cx="3239019" cy="1369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475"/>
              </a:lnTo>
              <a:lnTo>
                <a:pt x="3239019" y="68475"/>
              </a:lnTo>
              <a:lnTo>
                <a:pt x="3239019" y="13695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A01142-F62E-4F09-955A-6EF0C7069331}">
      <dsp:nvSpPr>
        <dsp:cNvPr id="0" name=""/>
        <dsp:cNvSpPr/>
      </dsp:nvSpPr>
      <dsp:spPr>
        <a:xfrm>
          <a:off x="4523104" y="1029932"/>
          <a:ext cx="303359" cy="15059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5952"/>
              </a:lnTo>
              <a:lnTo>
                <a:pt x="303359" y="150595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BD50E-D384-49FE-BB00-71E6AEEEE500}">
      <dsp:nvSpPr>
        <dsp:cNvPr id="0" name=""/>
        <dsp:cNvSpPr/>
      </dsp:nvSpPr>
      <dsp:spPr>
        <a:xfrm>
          <a:off x="4523104" y="1029932"/>
          <a:ext cx="303359" cy="9309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0961"/>
              </a:lnTo>
              <a:lnTo>
                <a:pt x="303359" y="93096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F4E0A2-533F-46EF-B1EF-8466DEC47284}">
      <dsp:nvSpPr>
        <dsp:cNvPr id="0" name=""/>
        <dsp:cNvSpPr/>
      </dsp:nvSpPr>
      <dsp:spPr>
        <a:xfrm>
          <a:off x="4523104" y="1029932"/>
          <a:ext cx="303359" cy="3559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971"/>
              </a:lnTo>
              <a:lnTo>
                <a:pt x="303359" y="35597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136685-5600-4E30-BED0-84E704D24193}">
      <dsp:nvSpPr>
        <dsp:cNvPr id="0" name=""/>
        <dsp:cNvSpPr/>
      </dsp:nvSpPr>
      <dsp:spPr>
        <a:xfrm>
          <a:off x="4252389" y="598816"/>
          <a:ext cx="1079673" cy="1369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475"/>
              </a:lnTo>
              <a:lnTo>
                <a:pt x="1079673" y="68475"/>
              </a:lnTo>
              <a:lnTo>
                <a:pt x="1079673" y="13695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487ED1-854B-4A52-9737-AAF07A5B6561}">
      <dsp:nvSpPr>
        <dsp:cNvPr id="0" name=""/>
        <dsp:cNvSpPr/>
      </dsp:nvSpPr>
      <dsp:spPr>
        <a:xfrm>
          <a:off x="2363758" y="1029932"/>
          <a:ext cx="303359" cy="15059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5952"/>
              </a:lnTo>
              <a:lnTo>
                <a:pt x="303359" y="150595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78C072-8E92-43C4-91B3-F3E661B7ABAC}">
      <dsp:nvSpPr>
        <dsp:cNvPr id="0" name=""/>
        <dsp:cNvSpPr/>
      </dsp:nvSpPr>
      <dsp:spPr>
        <a:xfrm>
          <a:off x="2363758" y="1029932"/>
          <a:ext cx="303359" cy="9309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0961"/>
              </a:lnTo>
              <a:lnTo>
                <a:pt x="303359" y="93096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6A734C-CD98-41BA-B25A-1C4D4AE8317A}">
      <dsp:nvSpPr>
        <dsp:cNvPr id="0" name=""/>
        <dsp:cNvSpPr/>
      </dsp:nvSpPr>
      <dsp:spPr>
        <a:xfrm>
          <a:off x="2363758" y="1029932"/>
          <a:ext cx="303359" cy="3559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971"/>
              </a:lnTo>
              <a:lnTo>
                <a:pt x="303359" y="35597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2DD1E1-B9A1-46FB-97E4-955B61300390}">
      <dsp:nvSpPr>
        <dsp:cNvPr id="0" name=""/>
        <dsp:cNvSpPr/>
      </dsp:nvSpPr>
      <dsp:spPr>
        <a:xfrm>
          <a:off x="3172716" y="598816"/>
          <a:ext cx="1079673" cy="136951"/>
        </a:xfrm>
        <a:custGeom>
          <a:avLst/>
          <a:gdLst/>
          <a:ahLst/>
          <a:cxnLst/>
          <a:rect l="0" t="0" r="0" b="0"/>
          <a:pathLst>
            <a:path>
              <a:moveTo>
                <a:pt x="1079673" y="0"/>
              </a:moveTo>
              <a:lnTo>
                <a:pt x="1079673" y="68475"/>
              </a:lnTo>
              <a:lnTo>
                <a:pt x="0" y="68475"/>
              </a:lnTo>
              <a:lnTo>
                <a:pt x="0" y="13695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7082C9-45F3-410C-83B8-8C1C4E93FA1C}">
      <dsp:nvSpPr>
        <dsp:cNvPr id="0" name=""/>
        <dsp:cNvSpPr/>
      </dsp:nvSpPr>
      <dsp:spPr>
        <a:xfrm>
          <a:off x="204412" y="1029932"/>
          <a:ext cx="303359" cy="15059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5952"/>
              </a:lnTo>
              <a:lnTo>
                <a:pt x="303359" y="150595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C07E89-C63D-4449-9138-B5EE3042C7A8}">
      <dsp:nvSpPr>
        <dsp:cNvPr id="0" name=""/>
        <dsp:cNvSpPr/>
      </dsp:nvSpPr>
      <dsp:spPr>
        <a:xfrm>
          <a:off x="204412" y="1029932"/>
          <a:ext cx="317380" cy="9309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0961"/>
              </a:lnTo>
              <a:lnTo>
                <a:pt x="317380" y="93096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BF0753-546B-46C2-86A1-B85748862C03}">
      <dsp:nvSpPr>
        <dsp:cNvPr id="0" name=""/>
        <dsp:cNvSpPr/>
      </dsp:nvSpPr>
      <dsp:spPr>
        <a:xfrm>
          <a:off x="204412" y="1029932"/>
          <a:ext cx="303359" cy="3559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971"/>
              </a:lnTo>
              <a:lnTo>
                <a:pt x="303359" y="355971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DD77B9-6508-4827-9493-60FB472DE478}">
      <dsp:nvSpPr>
        <dsp:cNvPr id="0" name=""/>
        <dsp:cNvSpPr/>
      </dsp:nvSpPr>
      <dsp:spPr>
        <a:xfrm>
          <a:off x="1013370" y="598816"/>
          <a:ext cx="3239019" cy="136951"/>
        </a:xfrm>
        <a:custGeom>
          <a:avLst/>
          <a:gdLst/>
          <a:ahLst/>
          <a:cxnLst/>
          <a:rect l="0" t="0" r="0" b="0"/>
          <a:pathLst>
            <a:path>
              <a:moveTo>
                <a:pt x="3239019" y="0"/>
              </a:moveTo>
              <a:lnTo>
                <a:pt x="3239019" y="68475"/>
              </a:lnTo>
              <a:lnTo>
                <a:pt x="0" y="68475"/>
              </a:lnTo>
              <a:lnTo>
                <a:pt x="0" y="13695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906B2A-6D0D-4B97-86E9-67AB72BB51C3}">
      <dsp:nvSpPr>
        <dsp:cNvPr id="0" name=""/>
        <dsp:cNvSpPr/>
      </dsp:nvSpPr>
      <dsp:spPr>
        <a:xfrm>
          <a:off x="3354738" y="239755"/>
          <a:ext cx="1795302" cy="359060"/>
        </a:xfrm>
        <a:prstGeom prst="roundRect">
          <a:avLst/>
        </a:prstGeom>
        <a:solidFill>
          <a:schemeClr val="accent6">
            <a:lumMod val="5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chemeClr val="bg1"/>
              </a:solidFill>
              <a:latin typeface="+mn-lt"/>
              <a:ea typeface="+mn-ea"/>
            </a:rPr>
            <a:t>Phase 3 - Development</a:t>
          </a:r>
        </a:p>
      </dsp:txBody>
      <dsp:txXfrm>
        <a:off x="3372266" y="257283"/>
        <a:ext cx="1760246" cy="324004"/>
      </dsp:txXfrm>
    </dsp:sp>
    <dsp:sp modelId="{42D1E0BE-354F-4E3C-8806-1977ECF66EA1}">
      <dsp:nvSpPr>
        <dsp:cNvPr id="0" name=""/>
        <dsp:cNvSpPr/>
      </dsp:nvSpPr>
      <dsp:spPr>
        <a:xfrm>
          <a:off x="2173" y="735767"/>
          <a:ext cx="2022394" cy="29416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3.1. Account Management</a:t>
          </a:r>
        </a:p>
      </dsp:txBody>
      <dsp:txXfrm>
        <a:off x="16533" y="750127"/>
        <a:ext cx="1993674" cy="265445"/>
      </dsp:txXfrm>
    </dsp:sp>
    <dsp:sp modelId="{6D82EA0F-014F-47C5-883A-DB387EA6CDAE}">
      <dsp:nvSpPr>
        <dsp:cNvPr id="0" name=""/>
        <dsp:cNvSpPr/>
      </dsp:nvSpPr>
      <dsp:spPr>
        <a:xfrm>
          <a:off x="507771" y="1166884"/>
          <a:ext cx="1752156" cy="438039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 dirty="0">
              <a:solidFill>
                <a:sysClr val="windowText" lastClr="000000"/>
              </a:solidFill>
            </a:rPr>
            <a:t>3.1.1. Edit Profile Name</a:t>
          </a:r>
          <a:endParaRPr lang="en-CA" sz="1000" kern="1200">
            <a:solidFill>
              <a:sysClr val="windowText" lastClr="000000"/>
            </a:solidFill>
            <a:latin typeface="+mn-lt"/>
          </a:endParaRPr>
        </a:p>
      </dsp:txBody>
      <dsp:txXfrm>
        <a:off x="529154" y="1188267"/>
        <a:ext cx="1709390" cy="395273"/>
      </dsp:txXfrm>
    </dsp:sp>
    <dsp:sp modelId="{16466F66-21BE-440C-AFE1-27401EFCD165}">
      <dsp:nvSpPr>
        <dsp:cNvPr id="0" name=""/>
        <dsp:cNvSpPr/>
      </dsp:nvSpPr>
      <dsp:spPr>
        <a:xfrm>
          <a:off x="521793" y="174187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43176" y="1763257"/>
        <a:ext cx="1709390" cy="395273"/>
      </dsp:txXfrm>
    </dsp:sp>
    <dsp:sp modelId="{2841514A-A0DB-45C8-A350-781612C53CB7}">
      <dsp:nvSpPr>
        <dsp:cNvPr id="0" name=""/>
        <dsp:cNvSpPr/>
      </dsp:nvSpPr>
      <dsp:spPr>
        <a:xfrm>
          <a:off x="507771" y="231686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29154" y="2338248"/>
        <a:ext cx="1709390" cy="395273"/>
      </dsp:txXfrm>
    </dsp:sp>
    <dsp:sp modelId="{1BE2E877-A98C-4F5E-B162-7E381A985946}">
      <dsp:nvSpPr>
        <dsp:cNvPr id="0" name=""/>
        <dsp:cNvSpPr/>
      </dsp:nvSpPr>
      <dsp:spPr>
        <a:xfrm>
          <a:off x="2161519" y="735767"/>
          <a:ext cx="2022394" cy="29416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3.2. Pet Browsing</a:t>
          </a:r>
        </a:p>
      </dsp:txBody>
      <dsp:txXfrm>
        <a:off x="2175879" y="750127"/>
        <a:ext cx="1993674" cy="265445"/>
      </dsp:txXfrm>
    </dsp:sp>
    <dsp:sp modelId="{6A43EABD-03AA-415F-BE3A-2DD31AB048C5}">
      <dsp:nvSpPr>
        <dsp:cNvPr id="0" name=""/>
        <dsp:cNvSpPr/>
      </dsp:nvSpPr>
      <dsp:spPr>
        <a:xfrm>
          <a:off x="2667117" y="116688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8500" y="1188267"/>
        <a:ext cx="1709390" cy="395273"/>
      </dsp:txXfrm>
    </dsp:sp>
    <dsp:sp modelId="{19B89C79-DE41-4F48-9743-7325556D13A7}">
      <dsp:nvSpPr>
        <dsp:cNvPr id="0" name=""/>
        <dsp:cNvSpPr/>
      </dsp:nvSpPr>
      <dsp:spPr>
        <a:xfrm>
          <a:off x="2667117" y="174187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8500" y="1763257"/>
        <a:ext cx="1709390" cy="395273"/>
      </dsp:txXfrm>
    </dsp:sp>
    <dsp:sp modelId="{0E67771F-D6B3-42E0-A4EC-8EA8EA99163C}">
      <dsp:nvSpPr>
        <dsp:cNvPr id="0" name=""/>
        <dsp:cNvSpPr/>
      </dsp:nvSpPr>
      <dsp:spPr>
        <a:xfrm>
          <a:off x="2667117" y="231686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Accessing Pet Details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8500" y="2338248"/>
        <a:ext cx="1709390" cy="395273"/>
      </dsp:txXfrm>
    </dsp:sp>
    <dsp:sp modelId="{F929D97E-86BE-4488-B496-35906E1F9CAE}">
      <dsp:nvSpPr>
        <dsp:cNvPr id="0" name=""/>
        <dsp:cNvSpPr/>
      </dsp:nvSpPr>
      <dsp:spPr>
        <a:xfrm>
          <a:off x="4320865" y="735767"/>
          <a:ext cx="2022394" cy="29416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3.3. Pet Management</a:t>
          </a:r>
        </a:p>
      </dsp:txBody>
      <dsp:txXfrm>
        <a:off x="4335225" y="750127"/>
        <a:ext cx="1993674" cy="265445"/>
      </dsp:txXfrm>
    </dsp:sp>
    <dsp:sp modelId="{A53EE3FD-0868-455B-8BBA-76212B84AD2F}">
      <dsp:nvSpPr>
        <dsp:cNvPr id="0" name=""/>
        <dsp:cNvSpPr/>
      </dsp:nvSpPr>
      <dsp:spPr>
        <a:xfrm>
          <a:off x="4826463" y="116688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47846" y="1188267"/>
        <a:ext cx="1709390" cy="395273"/>
      </dsp:txXfrm>
    </dsp:sp>
    <dsp:sp modelId="{1BB92FE5-CE5A-41FE-B673-C4A4F62BF5AB}">
      <dsp:nvSpPr>
        <dsp:cNvPr id="0" name=""/>
        <dsp:cNvSpPr/>
      </dsp:nvSpPr>
      <dsp:spPr>
        <a:xfrm>
          <a:off x="4826463" y="174187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47846" y="1763257"/>
        <a:ext cx="1709390" cy="395273"/>
      </dsp:txXfrm>
    </dsp:sp>
    <dsp:sp modelId="{B509DCB6-92BF-408D-9332-348533AC8AE4}">
      <dsp:nvSpPr>
        <dsp:cNvPr id="0" name=""/>
        <dsp:cNvSpPr/>
      </dsp:nvSpPr>
      <dsp:spPr>
        <a:xfrm>
          <a:off x="4826463" y="2316865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47846" y="2338248"/>
        <a:ext cx="1709390" cy="395273"/>
      </dsp:txXfrm>
    </dsp:sp>
    <dsp:sp modelId="{0A209B85-31FA-4E41-BE45-2EB0F430555C}">
      <dsp:nvSpPr>
        <dsp:cNvPr id="0" name=""/>
        <dsp:cNvSpPr/>
      </dsp:nvSpPr>
      <dsp:spPr>
        <a:xfrm>
          <a:off x="6480211" y="735767"/>
          <a:ext cx="2022394" cy="29416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3.4. Authentication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494571" y="750127"/>
        <a:ext cx="1993674" cy="265445"/>
      </dsp:txXfrm>
    </dsp:sp>
    <dsp:sp modelId="{25CBE439-FF8E-48F7-B5EE-F025139ED159}">
      <dsp:nvSpPr>
        <dsp:cNvPr id="0" name=""/>
        <dsp:cNvSpPr/>
      </dsp:nvSpPr>
      <dsp:spPr>
        <a:xfrm>
          <a:off x="6985809" y="116688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3.4.1. Login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7007192" y="1188267"/>
        <a:ext cx="1709390" cy="395273"/>
      </dsp:txXfrm>
    </dsp:sp>
    <dsp:sp modelId="{340D405E-7980-48FF-92E8-4B1BA0904690}">
      <dsp:nvSpPr>
        <dsp:cNvPr id="0" name=""/>
        <dsp:cNvSpPr/>
      </dsp:nvSpPr>
      <dsp:spPr>
        <a:xfrm>
          <a:off x="6985809" y="1741874"/>
          <a:ext cx="1752156" cy="438039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3.4.2. Registration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7007192" y="1763257"/>
        <a:ext cx="1709390" cy="395273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87082C9-45F3-410C-83B8-8C1C4E93FA1C}">
      <dsp:nvSpPr>
        <dsp:cNvPr id="0" name=""/>
        <dsp:cNvSpPr/>
      </dsp:nvSpPr>
      <dsp:spPr>
        <a:xfrm>
          <a:off x="6667885" y="1030951"/>
          <a:ext cx="302697" cy="15026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2669"/>
              </a:lnTo>
              <a:lnTo>
                <a:pt x="302697" y="1502669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C07E89-C63D-4449-9138-B5EE3042C7A8}">
      <dsp:nvSpPr>
        <dsp:cNvPr id="0" name=""/>
        <dsp:cNvSpPr/>
      </dsp:nvSpPr>
      <dsp:spPr>
        <a:xfrm>
          <a:off x="6667885" y="1030951"/>
          <a:ext cx="304866" cy="9289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28932"/>
              </a:lnTo>
              <a:lnTo>
                <a:pt x="304866" y="92893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BF0753-546B-46C2-86A1-B85748862C03}">
      <dsp:nvSpPr>
        <dsp:cNvPr id="0" name=""/>
        <dsp:cNvSpPr/>
      </dsp:nvSpPr>
      <dsp:spPr>
        <a:xfrm>
          <a:off x="6667885" y="1030951"/>
          <a:ext cx="302697" cy="3551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195"/>
              </a:lnTo>
              <a:lnTo>
                <a:pt x="302697" y="35519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DD77B9-6508-4827-9493-60FB472DE478}">
      <dsp:nvSpPr>
        <dsp:cNvPr id="0" name=""/>
        <dsp:cNvSpPr/>
      </dsp:nvSpPr>
      <dsp:spPr>
        <a:xfrm>
          <a:off x="4243121" y="600774"/>
          <a:ext cx="3231959" cy="1366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326"/>
              </a:lnTo>
              <a:lnTo>
                <a:pt x="3231959" y="68326"/>
              </a:lnTo>
              <a:lnTo>
                <a:pt x="3231959" y="13665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487ED1-854B-4A52-9737-AAF07A5B6561}">
      <dsp:nvSpPr>
        <dsp:cNvPr id="0" name=""/>
        <dsp:cNvSpPr/>
      </dsp:nvSpPr>
      <dsp:spPr>
        <a:xfrm>
          <a:off x="4513246" y="1030951"/>
          <a:ext cx="302697" cy="15026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2669"/>
              </a:lnTo>
              <a:lnTo>
                <a:pt x="302697" y="1502669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78C072-8E92-43C4-91B3-F3E661B7ABAC}">
      <dsp:nvSpPr>
        <dsp:cNvPr id="0" name=""/>
        <dsp:cNvSpPr/>
      </dsp:nvSpPr>
      <dsp:spPr>
        <a:xfrm>
          <a:off x="4513246" y="1030951"/>
          <a:ext cx="302697" cy="9289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28932"/>
              </a:lnTo>
              <a:lnTo>
                <a:pt x="302697" y="92893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6A734C-CD98-41BA-B25A-1C4D4AE8317A}">
      <dsp:nvSpPr>
        <dsp:cNvPr id="0" name=""/>
        <dsp:cNvSpPr/>
      </dsp:nvSpPr>
      <dsp:spPr>
        <a:xfrm>
          <a:off x="4513246" y="1030951"/>
          <a:ext cx="302697" cy="3551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195"/>
              </a:lnTo>
              <a:lnTo>
                <a:pt x="302697" y="35519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2DD1E1-B9A1-46FB-97E4-955B61300390}">
      <dsp:nvSpPr>
        <dsp:cNvPr id="0" name=""/>
        <dsp:cNvSpPr/>
      </dsp:nvSpPr>
      <dsp:spPr>
        <a:xfrm>
          <a:off x="4243121" y="600774"/>
          <a:ext cx="1077319" cy="1366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326"/>
              </a:lnTo>
              <a:lnTo>
                <a:pt x="1077319" y="68326"/>
              </a:lnTo>
              <a:lnTo>
                <a:pt x="1077319" y="13665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A01142-F62E-4F09-955A-6EF0C7069331}">
      <dsp:nvSpPr>
        <dsp:cNvPr id="0" name=""/>
        <dsp:cNvSpPr/>
      </dsp:nvSpPr>
      <dsp:spPr>
        <a:xfrm>
          <a:off x="2358606" y="1030951"/>
          <a:ext cx="302697" cy="15026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2669"/>
              </a:lnTo>
              <a:lnTo>
                <a:pt x="302697" y="1502669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BD50E-D384-49FE-BB00-71E6AEEEE500}">
      <dsp:nvSpPr>
        <dsp:cNvPr id="0" name=""/>
        <dsp:cNvSpPr/>
      </dsp:nvSpPr>
      <dsp:spPr>
        <a:xfrm>
          <a:off x="2358606" y="1030951"/>
          <a:ext cx="302697" cy="9289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28932"/>
              </a:lnTo>
              <a:lnTo>
                <a:pt x="302697" y="92893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F4E0A2-533F-46EF-B1EF-8466DEC47284}">
      <dsp:nvSpPr>
        <dsp:cNvPr id="0" name=""/>
        <dsp:cNvSpPr/>
      </dsp:nvSpPr>
      <dsp:spPr>
        <a:xfrm>
          <a:off x="2358606" y="1030951"/>
          <a:ext cx="302697" cy="3551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195"/>
              </a:lnTo>
              <a:lnTo>
                <a:pt x="302697" y="35519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136685-5600-4E30-BED0-84E704D24193}">
      <dsp:nvSpPr>
        <dsp:cNvPr id="0" name=""/>
        <dsp:cNvSpPr/>
      </dsp:nvSpPr>
      <dsp:spPr>
        <a:xfrm>
          <a:off x="3165801" y="600774"/>
          <a:ext cx="1077319" cy="136652"/>
        </a:xfrm>
        <a:custGeom>
          <a:avLst/>
          <a:gdLst/>
          <a:ahLst/>
          <a:cxnLst/>
          <a:rect l="0" t="0" r="0" b="0"/>
          <a:pathLst>
            <a:path>
              <a:moveTo>
                <a:pt x="1077319" y="0"/>
              </a:moveTo>
              <a:lnTo>
                <a:pt x="1077319" y="68326"/>
              </a:lnTo>
              <a:lnTo>
                <a:pt x="0" y="68326"/>
              </a:lnTo>
              <a:lnTo>
                <a:pt x="0" y="13665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82577A-DD48-4F68-A560-24C92A32267A}">
      <dsp:nvSpPr>
        <dsp:cNvPr id="0" name=""/>
        <dsp:cNvSpPr/>
      </dsp:nvSpPr>
      <dsp:spPr>
        <a:xfrm>
          <a:off x="203967" y="1030951"/>
          <a:ext cx="302697" cy="9289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28932"/>
              </a:lnTo>
              <a:lnTo>
                <a:pt x="302697" y="92893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890C3C-0C34-43C6-B53A-43502EC7872E}">
      <dsp:nvSpPr>
        <dsp:cNvPr id="0" name=""/>
        <dsp:cNvSpPr/>
      </dsp:nvSpPr>
      <dsp:spPr>
        <a:xfrm>
          <a:off x="203967" y="1030951"/>
          <a:ext cx="302697" cy="3551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5195"/>
              </a:lnTo>
              <a:lnTo>
                <a:pt x="302697" y="35519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F63975-AD3A-48CE-8A6A-39CA9BB236AA}">
      <dsp:nvSpPr>
        <dsp:cNvPr id="0" name=""/>
        <dsp:cNvSpPr/>
      </dsp:nvSpPr>
      <dsp:spPr>
        <a:xfrm>
          <a:off x="1011161" y="600774"/>
          <a:ext cx="3231959" cy="136652"/>
        </a:xfrm>
        <a:custGeom>
          <a:avLst/>
          <a:gdLst/>
          <a:ahLst/>
          <a:cxnLst/>
          <a:rect l="0" t="0" r="0" b="0"/>
          <a:pathLst>
            <a:path>
              <a:moveTo>
                <a:pt x="3231959" y="0"/>
              </a:moveTo>
              <a:lnTo>
                <a:pt x="3231959" y="68326"/>
              </a:lnTo>
              <a:lnTo>
                <a:pt x="0" y="68326"/>
              </a:lnTo>
              <a:lnTo>
                <a:pt x="0" y="13665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906B2A-6D0D-4B97-86E9-67AB72BB51C3}">
      <dsp:nvSpPr>
        <dsp:cNvPr id="0" name=""/>
        <dsp:cNvSpPr/>
      </dsp:nvSpPr>
      <dsp:spPr>
        <a:xfrm>
          <a:off x="3347426" y="242496"/>
          <a:ext cx="1791389" cy="358277"/>
        </a:xfrm>
        <a:prstGeom prst="roundRect">
          <a:avLst/>
        </a:prstGeom>
        <a:solidFill>
          <a:schemeClr val="accent6">
            <a:lumMod val="5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chemeClr val="bg1"/>
              </a:solidFill>
              <a:latin typeface="+mn-lt"/>
              <a:ea typeface="+mn-ea"/>
            </a:rPr>
            <a:t>Development</a:t>
          </a:r>
        </a:p>
      </dsp:txBody>
      <dsp:txXfrm>
        <a:off x="3364916" y="259986"/>
        <a:ext cx="1756409" cy="323297"/>
      </dsp:txXfrm>
    </dsp:sp>
    <dsp:sp modelId="{0A209B85-31FA-4E41-BE45-2EB0F430555C}">
      <dsp:nvSpPr>
        <dsp:cNvPr id="0" name=""/>
        <dsp:cNvSpPr/>
      </dsp:nvSpPr>
      <dsp:spPr>
        <a:xfrm>
          <a:off x="2168" y="737427"/>
          <a:ext cx="2017986" cy="29352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Arial"/>
              <a:cs typeface="Arial"/>
            </a:rPr>
            <a:t>3.1. Authentication</a:t>
          </a:r>
          <a:endParaRPr lang="en-CA" sz="1000" b="1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16497" y="751756"/>
        <a:ext cx="1989328" cy="264866"/>
      </dsp:txXfrm>
    </dsp:sp>
    <dsp:sp modelId="{25CBE439-FF8E-48F7-B5EE-F025139ED159}">
      <dsp:nvSpPr>
        <dsp:cNvPr id="0" name=""/>
        <dsp:cNvSpPr/>
      </dsp:nvSpPr>
      <dsp:spPr>
        <a:xfrm>
          <a:off x="506665" y="1167604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3.4.1. Login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28002" y="1188941"/>
        <a:ext cx="1705663" cy="394410"/>
      </dsp:txXfrm>
    </dsp:sp>
    <dsp:sp modelId="{340D405E-7980-48FF-92E8-4B1BA0904690}">
      <dsp:nvSpPr>
        <dsp:cNvPr id="0" name=""/>
        <dsp:cNvSpPr/>
      </dsp:nvSpPr>
      <dsp:spPr>
        <a:xfrm>
          <a:off x="506665" y="1741341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3.4.2. Registration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528002" y="1762678"/>
        <a:ext cx="1705663" cy="394410"/>
      </dsp:txXfrm>
    </dsp:sp>
    <dsp:sp modelId="{F929D97E-86BE-4488-B496-35906E1F9CAE}">
      <dsp:nvSpPr>
        <dsp:cNvPr id="0" name=""/>
        <dsp:cNvSpPr/>
      </dsp:nvSpPr>
      <dsp:spPr>
        <a:xfrm>
          <a:off x="2156808" y="737427"/>
          <a:ext cx="2017986" cy="29352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3.2. Pet Management</a:t>
          </a:r>
        </a:p>
      </dsp:txBody>
      <dsp:txXfrm>
        <a:off x="2171137" y="751756"/>
        <a:ext cx="1989328" cy="264866"/>
      </dsp:txXfrm>
    </dsp:sp>
    <dsp:sp modelId="{A53EE3FD-0868-455B-8BBA-76212B84AD2F}">
      <dsp:nvSpPr>
        <dsp:cNvPr id="0" name=""/>
        <dsp:cNvSpPr/>
      </dsp:nvSpPr>
      <dsp:spPr>
        <a:xfrm>
          <a:off x="2661304" y="1167604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2641" y="1188941"/>
        <a:ext cx="1705663" cy="394410"/>
      </dsp:txXfrm>
    </dsp:sp>
    <dsp:sp modelId="{1BB92FE5-CE5A-41FE-B673-C4A4F62BF5AB}">
      <dsp:nvSpPr>
        <dsp:cNvPr id="0" name=""/>
        <dsp:cNvSpPr/>
      </dsp:nvSpPr>
      <dsp:spPr>
        <a:xfrm>
          <a:off x="2661304" y="1741341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2641" y="1762678"/>
        <a:ext cx="1705663" cy="394410"/>
      </dsp:txXfrm>
    </dsp:sp>
    <dsp:sp modelId="{B509DCB6-92BF-408D-9332-348533AC8AE4}">
      <dsp:nvSpPr>
        <dsp:cNvPr id="0" name=""/>
        <dsp:cNvSpPr/>
      </dsp:nvSpPr>
      <dsp:spPr>
        <a:xfrm>
          <a:off x="2661304" y="2315079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2682641" y="2336416"/>
        <a:ext cx="1705663" cy="394410"/>
      </dsp:txXfrm>
    </dsp:sp>
    <dsp:sp modelId="{1BE2E877-A98C-4F5E-B162-7E381A985946}">
      <dsp:nvSpPr>
        <dsp:cNvPr id="0" name=""/>
        <dsp:cNvSpPr/>
      </dsp:nvSpPr>
      <dsp:spPr>
        <a:xfrm>
          <a:off x="4311447" y="737427"/>
          <a:ext cx="2017986" cy="29352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3.3. Pet Browsing</a:t>
          </a:r>
        </a:p>
      </dsp:txBody>
      <dsp:txXfrm>
        <a:off x="4325776" y="751756"/>
        <a:ext cx="1989328" cy="264866"/>
      </dsp:txXfrm>
    </dsp:sp>
    <dsp:sp modelId="{6A43EABD-03AA-415F-BE3A-2DD31AB048C5}">
      <dsp:nvSpPr>
        <dsp:cNvPr id="0" name=""/>
        <dsp:cNvSpPr/>
      </dsp:nvSpPr>
      <dsp:spPr>
        <a:xfrm>
          <a:off x="4815944" y="1167604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37281" y="1188941"/>
        <a:ext cx="1705663" cy="394410"/>
      </dsp:txXfrm>
    </dsp:sp>
    <dsp:sp modelId="{19B89C79-DE41-4F48-9743-7325556D13A7}">
      <dsp:nvSpPr>
        <dsp:cNvPr id="0" name=""/>
        <dsp:cNvSpPr/>
      </dsp:nvSpPr>
      <dsp:spPr>
        <a:xfrm>
          <a:off x="4815944" y="1741341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37281" y="1762678"/>
        <a:ext cx="1705663" cy="394410"/>
      </dsp:txXfrm>
    </dsp:sp>
    <dsp:sp modelId="{0E67771F-D6B3-42E0-A4EC-8EA8EA99163C}">
      <dsp:nvSpPr>
        <dsp:cNvPr id="0" name=""/>
        <dsp:cNvSpPr/>
      </dsp:nvSpPr>
      <dsp:spPr>
        <a:xfrm>
          <a:off x="4815944" y="2315079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Accessing Pet Details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4837281" y="2336416"/>
        <a:ext cx="1705663" cy="394410"/>
      </dsp:txXfrm>
    </dsp:sp>
    <dsp:sp modelId="{42D1E0BE-354F-4E3C-8806-1977ECF66EA1}">
      <dsp:nvSpPr>
        <dsp:cNvPr id="0" name=""/>
        <dsp:cNvSpPr/>
      </dsp:nvSpPr>
      <dsp:spPr>
        <a:xfrm>
          <a:off x="6466087" y="737427"/>
          <a:ext cx="2017986" cy="29352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3.4. Account Management</a:t>
          </a:r>
        </a:p>
      </dsp:txBody>
      <dsp:txXfrm>
        <a:off x="6480416" y="751756"/>
        <a:ext cx="1989328" cy="264866"/>
      </dsp:txXfrm>
    </dsp:sp>
    <dsp:sp modelId="{6D82EA0F-014F-47C5-883A-DB387EA6CDAE}">
      <dsp:nvSpPr>
        <dsp:cNvPr id="0" name=""/>
        <dsp:cNvSpPr/>
      </dsp:nvSpPr>
      <dsp:spPr>
        <a:xfrm>
          <a:off x="6970583" y="1167604"/>
          <a:ext cx="1748337" cy="43708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 dirty="0">
              <a:solidFill>
                <a:sysClr val="windowText" lastClr="000000"/>
              </a:solidFill>
            </a:rPr>
            <a:t>3.1.1. Edit Profile Name</a:t>
          </a:r>
          <a:endParaRPr lang="en-CA" sz="1000" kern="1200">
            <a:solidFill>
              <a:sysClr val="windowText" lastClr="000000"/>
            </a:solidFill>
            <a:latin typeface="+mn-lt"/>
          </a:endParaRPr>
        </a:p>
      </dsp:txBody>
      <dsp:txXfrm>
        <a:off x="6991920" y="1188941"/>
        <a:ext cx="1705663" cy="394410"/>
      </dsp:txXfrm>
    </dsp:sp>
    <dsp:sp modelId="{16466F66-21BE-440C-AFE1-27401EFCD165}">
      <dsp:nvSpPr>
        <dsp:cNvPr id="0" name=""/>
        <dsp:cNvSpPr/>
      </dsp:nvSpPr>
      <dsp:spPr>
        <a:xfrm>
          <a:off x="6972752" y="1741341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3.1.2.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994089" y="1762678"/>
        <a:ext cx="1705663" cy="394410"/>
      </dsp:txXfrm>
    </dsp:sp>
    <dsp:sp modelId="{2841514A-A0DB-45C8-A350-781612C53CB7}">
      <dsp:nvSpPr>
        <dsp:cNvPr id="0" name=""/>
        <dsp:cNvSpPr/>
      </dsp:nvSpPr>
      <dsp:spPr>
        <a:xfrm>
          <a:off x="6970583" y="2315079"/>
          <a:ext cx="1748337" cy="437084"/>
        </a:xfrm>
        <a:prstGeom prst="roundRect">
          <a:avLst/>
        </a:prstGeom>
        <a:solidFill>
          <a:srgbClr val="34A853">
            <a:lumMod val="60000"/>
            <a:lumOff val="40000"/>
          </a:srgb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Arial"/>
              <a:ea typeface="Arial"/>
              <a:cs typeface="Arial"/>
            </a:rPr>
            <a:t>3.1.3. </a:t>
          </a:r>
          <a:r>
            <a:rPr lang="en-CA" sz="1000" kern="1200" dirty="0">
              <a:solidFill>
                <a:sysClr val="windowText" lastClr="000000"/>
              </a:solidFill>
              <a:latin typeface="Arial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Arial"/>
            <a:ea typeface="Arial"/>
            <a:cs typeface="Arial"/>
          </a:endParaRPr>
        </a:p>
      </dsp:txBody>
      <dsp:txXfrm>
        <a:off x="6991920" y="2336416"/>
        <a:ext cx="1705663" cy="394410"/>
      </dsp:txXfrm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87082C9-45F3-410C-83B8-8C1C4E93FA1C}">
      <dsp:nvSpPr>
        <dsp:cNvPr id="0" name=""/>
        <dsp:cNvSpPr/>
      </dsp:nvSpPr>
      <dsp:spPr>
        <a:xfrm>
          <a:off x="4666646" y="917085"/>
          <a:ext cx="211848" cy="1211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11150"/>
              </a:lnTo>
              <a:lnTo>
                <a:pt x="211848" y="1211150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C07E89-C63D-4449-9138-B5EE3042C7A8}">
      <dsp:nvSpPr>
        <dsp:cNvPr id="0" name=""/>
        <dsp:cNvSpPr/>
      </dsp:nvSpPr>
      <dsp:spPr>
        <a:xfrm>
          <a:off x="4666646" y="917085"/>
          <a:ext cx="213366" cy="7458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45818"/>
              </a:lnTo>
              <a:lnTo>
                <a:pt x="213366" y="745818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BF0753-546B-46C2-86A1-B85748862C03}">
      <dsp:nvSpPr>
        <dsp:cNvPr id="0" name=""/>
        <dsp:cNvSpPr/>
      </dsp:nvSpPr>
      <dsp:spPr>
        <a:xfrm>
          <a:off x="4666646" y="917085"/>
          <a:ext cx="211848" cy="2804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0485"/>
              </a:lnTo>
              <a:lnTo>
                <a:pt x="211848" y="28048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DD77B9-6508-4827-9493-60FB472DE478}">
      <dsp:nvSpPr>
        <dsp:cNvPr id="0" name=""/>
        <dsp:cNvSpPr/>
      </dsp:nvSpPr>
      <dsp:spPr>
        <a:xfrm>
          <a:off x="2969628" y="451753"/>
          <a:ext cx="2261947" cy="9563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819"/>
              </a:lnTo>
              <a:lnTo>
                <a:pt x="2261947" y="47819"/>
              </a:lnTo>
              <a:lnTo>
                <a:pt x="2261947" y="9563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C2166A-9890-4765-B471-9CF5443E13E1}">
      <dsp:nvSpPr>
        <dsp:cNvPr id="0" name=""/>
        <dsp:cNvSpPr/>
      </dsp:nvSpPr>
      <dsp:spPr>
        <a:xfrm>
          <a:off x="3158680" y="917085"/>
          <a:ext cx="211848" cy="16764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76482"/>
              </a:lnTo>
              <a:lnTo>
                <a:pt x="211848" y="1676482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487ED1-854B-4A52-9737-AAF07A5B6561}">
      <dsp:nvSpPr>
        <dsp:cNvPr id="0" name=""/>
        <dsp:cNvSpPr/>
      </dsp:nvSpPr>
      <dsp:spPr>
        <a:xfrm>
          <a:off x="3158680" y="917085"/>
          <a:ext cx="211848" cy="1211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11150"/>
              </a:lnTo>
              <a:lnTo>
                <a:pt x="211848" y="1211150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78C072-8E92-43C4-91B3-F3E661B7ABAC}">
      <dsp:nvSpPr>
        <dsp:cNvPr id="0" name=""/>
        <dsp:cNvSpPr/>
      </dsp:nvSpPr>
      <dsp:spPr>
        <a:xfrm>
          <a:off x="3158680" y="917085"/>
          <a:ext cx="211848" cy="7458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45818"/>
              </a:lnTo>
              <a:lnTo>
                <a:pt x="211848" y="745818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6A734C-CD98-41BA-B25A-1C4D4AE8317A}">
      <dsp:nvSpPr>
        <dsp:cNvPr id="0" name=""/>
        <dsp:cNvSpPr/>
      </dsp:nvSpPr>
      <dsp:spPr>
        <a:xfrm>
          <a:off x="3158680" y="917085"/>
          <a:ext cx="211848" cy="2804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0485"/>
              </a:lnTo>
              <a:lnTo>
                <a:pt x="211848" y="28048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2DD1E1-B9A1-46FB-97E4-955B61300390}">
      <dsp:nvSpPr>
        <dsp:cNvPr id="0" name=""/>
        <dsp:cNvSpPr/>
      </dsp:nvSpPr>
      <dsp:spPr>
        <a:xfrm>
          <a:off x="2969628" y="451753"/>
          <a:ext cx="753982" cy="9563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819"/>
              </a:lnTo>
              <a:lnTo>
                <a:pt x="753982" y="47819"/>
              </a:lnTo>
              <a:lnTo>
                <a:pt x="753982" y="9563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A01142-F62E-4F09-955A-6EF0C7069331}">
      <dsp:nvSpPr>
        <dsp:cNvPr id="0" name=""/>
        <dsp:cNvSpPr/>
      </dsp:nvSpPr>
      <dsp:spPr>
        <a:xfrm>
          <a:off x="1650715" y="917085"/>
          <a:ext cx="211848" cy="1211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11150"/>
              </a:lnTo>
              <a:lnTo>
                <a:pt x="211848" y="1211150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BD50E-D384-49FE-BB00-71E6AEEEE500}">
      <dsp:nvSpPr>
        <dsp:cNvPr id="0" name=""/>
        <dsp:cNvSpPr/>
      </dsp:nvSpPr>
      <dsp:spPr>
        <a:xfrm>
          <a:off x="1650715" y="917085"/>
          <a:ext cx="211848" cy="7458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45818"/>
              </a:lnTo>
              <a:lnTo>
                <a:pt x="211848" y="745818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F4E0A2-533F-46EF-B1EF-8466DEC47284}">
      <dsp:nvSpPr>
        <dsp:cNvPr id="0" name=""/>
        <dsp:cNvSpPr/>
      </dsp:nvSpPr>
      <dsp:spPr>
        <a:xfrm>
          <a:off x="1650715" y="917085"/>
          <a:ext cx="211848" cy="2804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0485"/>
              </a:lnTo>
              <a:lnTo>
                <a:pt x="211848" y="28048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136685-5600-4E30-BED0-84E704D24193}">
      <dsp:nvSpPr>
        <dsp:cNvPr id="0" name=""/>
        <dsp:cNvSpPr/>
      </dsp:nvSpPr>
      <dsp:spPr>
        <a:xfrm>
          <a:off x="2215646" y="451753"/>
          <a:ext cx="753982" cy="95639"/>
        </a:xfrm>
        <a:custGeom>
          <a:avLst/>
          <a:gdLst/>
          <a:ahLst/>
          <a:cxnLst/>
          <a:rect l="0" t="0" r="0" b="0"/>
          <a:pathLst>
            <a:path>
              <a:moveTo>
                <a:pt x="753982" y="0"/>
              </a:moveTo>
              <a:lnTo>
                <a:pt x="753982" y="47819"/>
              </a:lnTo>
              <a:lnTo>
                <a:pt x="0" y="47819"/>
              </a:lnTo>
              <a:lnTo>
                <a:pt x="0" y="9563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82577A-DD48-4F68-A560-24C92A32267A}">
      <dsp:nvSpPr>
        <dsp:cNvPr id="0" name=""/>
        <dsp:cNvSpPr/>
      </dsp:nvSpPr>
      <dsp:spPr>
        <a:xfrm>
          <a:off x="142750" y="917085"/>
          <a:ext cx="211848" cy="7458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45818"/>
              </a:lnTo>
              <a:lnTo>
                <a:pt x="211848" y="745818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890C3C-0C34-43C6-B53A-43502EC7872E}">
      <dsp:nvSpPr>
        <dsp:cNvPr id="0" name=""/>
        <dsp:cNvSpPr/>
      </dsp:nvSpPr>
      <dsp:spPr>
        <a:xfrm>
          <a:off x="142750" y="917085"/>
          <a:ext cx="211848" cy="2804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0485"/>
              </a:lnTo>
              <a:lnTo>
                <a:pt x="211848" y="280485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F63975-AD3A-48CE-8A6A-39CA9BB236AA}">
      <dsp:nvSpPr>
        <dsp:cNvPr id="0" name=""/>
        <dsp:cNvSpPr/>
      </dsp:nvSpPr>
      <dsp:spPr>
        <a:xfrm>
          <a:off x="707680" y="451753"/>
          <a:ext cx="2261947" cy="95639"/>
        </a:xfrm>
        <a:custGeom>
          <a:avLst/>
          <a:gdLst/>
          <a:ahLst/>
          <a:cxnLst/>
          <a:rect l="0" t="0" r="0" b="0"/>
          <a:pathLst>
            <a:path>
              <a:moveTo>
                <a:pt x="2261947" y="0"/>
              </a:moveTo>
              <a:lnTo>
                <a:pt x="2261947" y="47819"/>
              </a:lnTo>
              <a:lnTo>
                <a:pt x="0" y="47819"/>
              </a:lnTo>
              <a:lnTo>
                <a:pt x="0" y="9563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906B2A-6D0D-4B97-86E9-67AB72BB51C3}">
      <dsp:nvSpPr>
        <dsp:cNvPr id="0" name=""/>
        <dsp:cNvSpPr/>
      </dsp:nvSpPr>
      <dsp:spPr>
        <a:xfrm>
          <a:off x="2342759" y="201005"/>
          <a:ext cx="1253738" cy="250747"/>
        </a:xfrm>
        <a:prstGeom prst="roundRect">
          <a:avLst/>
        </a:prstGeom>
        <a:solidFill>
          <a:schemeClr val="accent6">
            <a:lumMod val="5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chemeClr val="bg1"/>
              </a:solidFill>
              <a:latin typeface="+mn-lt"/>
              <a:ea typeface="+mn-ea"/>
            </a:rPr>
            <a:t>Development</a:t>
          </a:r>
        </a:p>
      </dsp:txBody>
      <dsp:txXfrm>
        <a:off x="2354999" y="213245"/>
        <a:ext cx="1229258" cy="226267"/>
      </dsp:txXfrm>
    </dsp:sp>
    <dsp:sp modelId="{0A209B85-31FA-4E41-BE45-2EB0F430555C}">
      <dsp:nvSpPr>
        <dsp:cNvPr id="0" name=""/>
        <dsp:cNvSpPr/>
      </dsp:nvSpPr>
      <dsp:spPr>
        <a:xfrm>
          <a:off x="1517" y="547392"/>
          <a:ext cx="1412326" cy="36969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  <a:cs typeface="Arial"/>
            </a:rPr>
            <a:t>3.1. Authentication</a:t>
          </a:r>
          <a:endParaRPr lang="en-CA" sz="1000" b="1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19564" y="565439"/>
        <a:ext cx="1376232" cy="333599"/>
      </dsp:txXfrm>
    </dsp:sp>
    <dsp:sp modelId="{25CBE439-FF8E-48F7-B5EE-F025139ED159}">
      <dsp:nvSpPr>
        <dsp:cNvPr id="0" name=""/>
        <dsp:cNvSpPr/>
      </dsp:nvSpPr>
      <dsp:spPr>
        <a:xfrm>
          <a:off x="354599" y="1012724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3.1.1. Login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372646" y="1030771"/>
        <a:ext cx="1187513" cy="333599"/>
      </dsp:txXfrm>
    </dsp:sp>
    <dsp:sp modelId="{340D405E-7980-48FF-92E8-4B1BA0904690}">
      <dsp:nvSpPr>
        <dsp:cNvPr id="0" name=""/>
        <dsp:cNvSpPr/>
      </dsp:nvSpPr>
      <dsp:spPr>
        <a:xfrm>
          <a:off x="354599" y="1478056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3.1.2. Registration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372646" y="1496103"/>
        <a:ext cx="1187513" cy="333599"/>
      </dsp:txXfrm>
    </dsp:sp>
    <dsp:sp modelId="{F929D97E-86BE-4488-B496-35906E1F9CAE}">
      <dsp:nvSpPr>
        <dsp:cNvPr id="0" name=""/>
        <dsp:cNvSpPr/>
      </dsp:nvSpPr>
      <dsp:spPr>
        <a:xfrm>
          <a:off x="1509482" y="547392"/>
          <a:ext cx="1412326" cy="36969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3.2. Pet Management</a:t>
          </a:r>
        </a:p>
      </dsp:txBody>
      <dsp:txXfrm>
        <a:off x="1527529" y="565439"/>
        <a:ext cx="1376232" cy="333599"/>
      </dsp:txXfrm>
    </dsp:sp>
    <dsp:sp modelId="{A53EE3FD-0868-455B-8BBA-76212B84AD2F}">
      <dsp:nvSpPr>
        <dsp:cNvPr id="0" name=""/>
        <dsp:cNvSpPr/>
      </dsp:nvSpPr>
      <dsp:spPr>
        <a:xfrm>
          <a:off x="1862564" y="1012724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3.2.1.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Uploading Pet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1880611" y="1030771"/>
        <a:ext cx="1187513" cy="333599"/>
      </dsp:txXfrm>
    </dsp:sp>
    <dsp:sp modelId="{1BB92FE5-CE5A-41FE-B673-C4A4F62BF5AB}">
      <dsp:nvSpPr>
        <dsp:cNvPr id="0" name=""/>
        <dsp:cNvSpPr/>
      </dsp:nvSpPr>
      <dsp:spPr>
        <a:xfrm>
          <a:off x="1862564" y="1478056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3.2.2.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Deleting Pet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1880611" y="1496103"/>
        <a:ext cx="1187513" cy="333599"/>
      </dsp:txXfrm>
    </dsp:sp>
    <dsp:sp modelId="{B509DCB6-92BF-408D-9332-348533AC8AE4}">
      <dsp:nvSpPr>
        <dsp:cNvPr id="0" name=""/>
        <dsp:cNvSpPr/>
      </dsp:nvSpPr>
      <dsp:spPr>
        <a:xfrm>
          <a:off x="1862564" y="1943389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3.2.3.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Editing Pet Info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1880611" y="1961436"/>
        <a:ext cx="1187513" cy="333599"/>
      </dsp:txXfrm>
    </dsp:sp>
    <dsp:sp modelId="{1BE2E877-A98C-4F5E-B162-7E381A985946}">
      <dsp:nvSpPr>
        <dsp:cNvPr id="0" name=""/>
        <dsp:cNvSpPr/>
      </dsp:nvSpPr>
      <dsp:spPr>
        <a:xfrm>
          <a:off x="3017448" y="547392"/>
          <a:ext cx="1412326" cy="36969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3.3. Pet Browsing</a:t>
          </a:r>
        </a:p>
      </dsp:txBody>
      <dsp:txXfrm>
        <a:off x="3035495" y="565439"/>
        <a:ext cx="1376232" cy="333599"/>
      </dsp:txXfrm>
    </dsp:sp>
    <dsp:sp modelId="{6A43EABD-03AA-415F-BE3A-2DD31AB048C5}">
      <dsp:nvSpPr>
        <dsp:cNvPr id="0" name=""/>
        <dsp:cNvSpPr/>
      </dsp:nvSpPr>
      <dsp:spPr>
        <a:xfrm>
          <a:off x="3370529" y="1012724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3.3.1.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Browsing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3388576" y="1030771"/>
        <a:ext cx="1187513" cy="333599"/>
      </dsp:txXfrm>
    </dsp:sp>
    <dsp:sp modelId="{19B89C79-DE41-4F48-9743-7325556D13A7}">
      <dsp:nvSpPr>
        <dsp:cNvPr id="0" name=""/>
        <dsp:cNvSpPr/>
      </dsp:nvSpPr>
      <dsp:spPr>
        <a:xfrm>
          <a:off x="3370529" y="1478056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3.3.2.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Filtering and Searching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3388576" y="1496103"/>
        <a:ext cx="1187513" cy="333599"/>
      </dsp:txXfrm>
    </dsp:sp>
    <dsp:sp modelId="{0E67771F-D6B3-42E0-A4EC-8EA8EA99163C}">
      <dsp:nvSpPr>
        <dsp:cNvPr id="0" name=""/>
        <dsp:cNvSpPr/>
      </dsp:nvSpPr>
      <dsp:spPr>
        <a:xfrm>
          <a:off x="3370529" y="1943389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3.3.3.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Pet Inquiries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3388576" y="1961436"/>
        <a:ext cx="1187513" cy="333599"/>
      </dsp:txXfrm>
    </dsp:sp>
    <dsp:sp modelId="{B96902F1-B08B-497F-AE3F-EA9BCF9D174F}">
      <dsp:nvSpPr>
        <dsp:cNvPr id="0" name=""/>
        <dsp:cNvSpPr/>
      </dsp:nvSpPr>
      <dsp:spPr>
        <a:xfrm>
          <a:off x="3370529" y="2408721"/>
          <a:ext cx="1223684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3.3.4. </a:t>
          </a:r>
          <a:r>
            <a:rPr lang="en-GB" sz="1000" kern="1200">
              <a:solidFill>
                <a:sysClr val="windowText" lastClr="000000"/>
              </a:solidFill>
              <a:latin typeface="+mn-lt"/>
              <a:cs typeface="Arial"/>
            </a:rPr>
            <a:t>Shelter Rating System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3388576" y="2426768"/>
        <a:ext cx="1187590" cy="333599"/>
      </dsp:txXfrm>
    </dsp:sp>
    <dsp:sp modelId="{42D1E0BE-354F-4E3C-8806-1977ECF66EA1}">
      <dsp:nvSpPr>
        <dsp:cNvPr id="0" name=""/>
        <dsp:cNvSpPr/>
      </dsp:nvSpPr>
      <dsp:spPr>
        <a:xfrm>
          <a:off x="4525413" y="547392"/>
          <a:ext cx="1412326" cy="36969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b="1" kern="1200">
              <a:solidFill>
                <a:sysClr val="windowText" lastClr="000000"/>
              </a:solidFill>
              <a:latin typeface="+mn-lt"/>
            </a:rPr>
            <a:t>3.1. Account Management</a:t>
          </a:r>
        </a:p>
      </dsp:txBody>
      <dsp:txXfrm>
        <a:off x="4543460" y="565439"/>
        <a:ext cx="1376232" cy="333599"/>
      </dsp:txXfrm>
    </dsp:sp>
    <dsp:sp modelId="{6D82EA0F-014F-47C5-883A-DB387EA6CDAE}">
      <dsp:nvSpPr>
        <dsp:cNvPr id="0" name=""/>
        <dsp:cNvSpPr/>
      </dsp:nvSpPr>
      <dsp:spPr>
        <a:xfrm>
          <a:off x="4878495" y="1012724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CA" sz="1000" kern="1200" dirty="0">
              <a:solidFill>
                <a:sysClr val="windowText" lastClr="000000"/>
              </a:solidFill>
              <a:latin typeface="+mn-lt"/>
            </a:rPr>
            <a:t>3.4.1. Edit Profile Name and Details</a:t>
          </a:r>
          <a:endParaRPr lang="en-CA" sz="1000" kern="1200">
            <a:solidFill>
              <a:sysClr val="windowText" lastClr="000000"/>
            </a:solidFill>
            <a:latin typeface="+mn-lt"/>
          </a:endParaRPr>
        </a:p>
      </dsp:txBody>
      <dsp:txXfrm>
        <a:off x="4896542" y="1030771"/>
        <a:ext cx="1187513" cy="333599"/>
      </dsp:txXfrm>
    </dsp:sp>
    <dsp:sp modelId="{16466F66-21BE-440C-AFE1-27401EFCD165}">
      <dsp:nvSpPr>
        <dsp:cNvPr id="0" name=""/>
        <dsp:cNvSpPr/>
      </dsp:nvSpPr>
      <dsp:spPr>
        <a:xfrm>
          <a:off x="4880012" y="1478056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3.4.2.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Edit Picture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4898059" y="1496103"/>
        <a:ext cx="1187513" cy="333599"/>
      </dsp:txXfrm>
    </dsp:sp>
    <dsp:sp modelId="{2841514A-A0DB-45C8-A350-781612C53CB7}">
      <dsp:nvSpPr>
        <dsp:cNvPr id="0" name=""/>
        <dsp:cNvSpPr/>
      </dsp:nvSpPr>
      <dsp:spPr>
        <a:xfrm>
          <a:off x="4878495" y="1943389"/>
          <a:ext cx="1223607" cy="36969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 w="127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8000" tIns="72000" rIns="36000" bIns="7200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000" kern="1200" dirty="0">
              <a:solidFill>
                <a:sysClr val="windowText" lastClr="000000"/>
              </a:solidFill>
              <a:latin typeface="+mn-lt"/>
              <a:ea typeface="Arial"/>
              <a:cs typeface="Arial"/>
            </a:rPr>
            <a:t>3.4.3. </a:t>
          </a:r>
          <a:r>
            <a:rPr lang="en-CA" sz="1000" kern="1200" dirty="0">
              <a:solidFill>
                <a:sysClr val="windowText" lastClr="000000"/>
              </a:solidFill>
              <a:latin typeface="+mn-lt"/>
              <a:cs typeface="Arial"/>
            </a:rPr>
            <a:t>Change Password</a:t>
          </a:r>
          <a:endParaRPr lang="en-CA" sz="1000" kern="1200">
            <a:solidFill>
              <a:sysClr val="windowText" lastClr="000000"/>
            </a:solidFill>
            <a:latin typeface="+mn-lt"/>
            <a:ea typeface="Arial"/>
            <a:cs typeface="Arial"/>
          </a:endParaRPr>
        </a:p>
      </dsp:txBody>
      <dsp:txXfrm>
        <a:off x="4896542" y="1961436"/>
        <a:ext cx="1187513" cy="33359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2.xml"/><Relationship Id="rId7" Type="http://schemas.openxmlformats.org/officeDocument/2006/relationships/diagramLayout" Target="../diagrams/layout3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diagramData" Target="../diagrams/data3.xml"/><Relationship Id="rId5" Type="http://schemas.microsoft.com/office/2007/relationships/diagramDrawing" Target="../diagrams/drawing2.xml"/><Relationship Id="rId10" Type="http://schemas.microsoft.com/office/2007/relationships/diagramDrawing" Target="../diagrams/drawing3.xml"/><Relationship Id="rId4" Type="http://schemas.openxmlformats.org/officeDocument/2006/relationships/diagramColors" Target="../diagrams/colors2.xml"/><Relationship Id="rId9" Type="http://schemas.openxmlformats.org/officeDocument/2006/relationships/diagramColors" Target="../diagrams/colors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5.xml"/><Relationship Id="rId13" Type="http://schemas.openxmlformats.org/officeDocument/2006/relationships/diagramQuickStyle" Target="../diagrams/quickStyle6.xml"/><Relationship Id="rId3" Type="http://schemas.openxmlformats.org/officeDocument/2006/relationships/diagramQuickStyle" Target="../diagrams/quickStyle4.xml"/><Relationship Id="rId7" Type="http://schemas.openxmlformats.org/officeDocument/2006/relationships/diagramLayout" Target="../diagrams/layout5.xml"/><Relationship Id="rId12" Type="http://schemas.openxmlformats.org/officeDocument/2006/relationships/diagramLayout" Target="../diagrams/layout6.xml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6" Type="http://schemas.openxmlformats.org/officeDocument/2006/relationships/diagramData" Target="../diagrams/data5.xml"/><Relationship Id="rId11" Type="http://schemas.openxmlformats.org/officeDocument/2006/relationships/diagramData" Target="../diagrams/data6.xml"/><Relationship Id="rId5" Type="http://schemas.microsoft.com/office/2007/relationships/diagramDrawing" Target="../diagrams/drawing4.xml"/><Relationship Id="rId15" Type="http://schemas.microsoft.com/office/2007/relationships/diagramDrawing" Target="../diagrams/drawing6.xml"/><Relationship Id="rId10" Type="http://schemas.microsoft.com/office/2007/relationships/diagramDrawing" Target="../diagrams/drawing5.xml"/><Relationship Id="rId4" Type="http://schemas.openxmlformats.org/officeDocument/2006/relationships/diagramColors" Target="../diagrams/colors4.xml"/><Relationship Id="rId9" Type="http://schemas.openxmlformats.org/officeDocument/2006/relationships/diagramColors" Target="../diagrams/colors5.xml"/><Relationship Id="rId14" Type="http://schemas.openxmlformats.org/officeDocument/2006/relationships/diagramColors" Target="../diagrams/colors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3" Type="http://schemas.openxmlformats.org/officeDocument/2006/relationships/image" Target="../media/image16.emf"/><Relationship Id="rId7" Type="http://schemas.openxmlformats.org/officeDocument/2006/relationships/image" Target="../media/image20.emf"/><Relationship Id="rId12" Type="http://schemas.openxmlformats.org/officeDocument/2006/relationships/image" Target="../media/image25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6" Type="http://schemas.openxmlformats.org/officeDocument/2006/relationships/image" Target="../media/image19.emf"/><Relationship Id="rId11" Type="http://schemas.openxmlformats.org/officeDocument/2006/relationships/image" Target="../media/image24.emf"/><Relationship Id="rId5" Type="http://schemas.openxmlformats.org/officeDocument/2006/relationships/image" Target="../media/image18.emf"/><Relationship Id="rId10" Type="http://schemas.openxmlformats.org/officeDocument/2006/relationships/image" Target="../media/image23.emf"/><Relationship Id="rId4" Type="http://schemas.openxmlformats.org/officeDocument/2006/relationships/image" Target="../media/image17.emf"/><Relationship Id="rId9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32</xdr:row>
      <xdr:rowOff>118110</xdr:rowOff>
    </xdr:from>
    <xdr:to>
      <xdr:col>6</xdr:col>
      <xdr:colOff>487680</xdr:colOff>
      <xdr:row>53</xdr:row>
      <xdr:rowOff>7620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6C51E7B-CA45-03A9-9F55-A8946E8A3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29</xdr:row>
      <xdr:rowOff>99060</xdr:rowOff>
    </xdr:from>
    <xdr:to>
      <xdr:col>6</xdr:col>
      <xdr:colOff>487680</xdr:colOff>
      <xdr:row>46</xdr:row>
      <xdr:rowOff>114300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203A0E2-9C48-4AD3-B4D1-0C2A645D4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1800226</xdr:colOff>
      <xdr:row>33</xdr:row>
      <xdr:rowOff>95250</xdr:rowOff>
    </xdr:from>
    <xdr:to>
      <xdr:col>4</xdr:col>
      <xdr:colOff>495301</xdr:colOff>
      <xdr:row>45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5177CA9-64F2-66C6-49F1-571B5F9BB3DA}"/>
            </a:ext>
          </a:extLst>
        </xdr:cNvPr>
        <xdr:cNvSpPr/>
      </xdr:nvSpPr>
      <xdr:spPr>
        <a:xfrm>
          <a:off x="5105401" y="6496050"/>
          <a:ext cx="2076450" cy="2114550"/>
        </a:xfrm>
        <a:prstGeom prst="roundRect">
          <a:avLst>
            <a:gd name="adj" fmla="val 5713"/>
          </a:avLst>
        </a:prstGeom>
        <a:noFill/>
        <a:ln w="19050">
          <a:solidFill>
            <a:srgbClr val="C0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381000</xdr:colOff>
      <xdr:row>49</xdr:row>
      <xdr:rowOff>41910</xdr:rowOff>
    </xdr:from>
    <xdr:to>
      <xdr:col>6</xdr:col>
      <xdr:colOff>487680</xdr:colOff>
      <xdr:row>66</xdr:row>
      <xdr:rowOff>57150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7A40133-5999-7F5E-65A8-347CB2C17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29</xdr:row>
      <xdr:rowOff>99060</xdr:rowOff>
    </xdr:from>
    <xdr:to>
      <xdr:col>6</xdr:col>
      <xdr:colOff>487680</xdr:colOff>
      <xdr:row>46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073435C-C08A-4DE6-9CDC-84DDE5B97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1800226</xdr:colOff>
      <xdr:row>33</xdr:row>
      <xdr:rowOff>95250</xdr:rowOff>
    </xdr:from>
    <xdr:to>
      <xdr:col>4</xdr:col>
      <xdr:colOff>495301</xdr:colOff>
      <xdr:row>45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276237F-1684-4F8C-A71C-D4DEFA16EAB2}"/>
            </a:ext>
          </a:extLst>
        </xdr:cNvPr>
        <xdr:cNvSpPr/>
      </xdr:nvSpPr>
      <xdr:spPr>
        <a:xfrm>
          <a:off x="5105401" y="6496050"/>
          <a:ext cx="2076450" cy="2114550"/>
        </a:xfrm>
        <a:prstGeom prst="roundRect">
          <a:avLst>
            <a:gd name="adj" fmla="val 5713"/>
          </a:avLst>
        </a:prstGeom>
        <a:noFill/>
        <a:ln w="19050">
          <a:solidFill>
            <a:srgbClr val="C0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66</xdr:row>
      <xdr:rowOff>118110</xdr:rowOff>
    </xdr:from>
    <xdr:to>
      <xdr:col>5</xdr:col>
      <xdr:colOff>773430</xdr:colOff>
      <xdr:row>83</xdr:row>
      <xdr:rowOff>133350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0969847-CF6D-443D-B7DE-D9B104DF5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7</xdr:col>
      <xdr:colOff>390525</xdr:colOff>
      <xdr:row>39</xdr:row>
      <xdr:rowOff>0</xdr:rowOff>
    </xdr:from>
    <xdr:to>
      <xdr:col>13</xdr:col>
      <xdr:colOff>428625</xdr:colOff>
      <xdr:row>56</xdr:row>
      <xdr:rowOff>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7A40133-5999-7F5E-65A8-347CB2C17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76200</xdr:rowOff>
    </xdr:from>
    <xdr:to>
      <xdr:col>31</xdr:col>
      <xdr:colOff>87630</xdr:colOff>
      <xdr:row>23</xdr:row>
      <xdr:rowOff>114300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D889F141-1D12-F234-AA55-98240D7CDDC8}"/>
            </a:ext>
          </a:extLst>
        </xdr:cNvPr>
        <xdr:cNvGrpSpPr/>
      </xdr:nvGrpSpPr>
      <xdr:grpSpPr>
        <a:xfrm>
          <a:off x="4244340" y="426720"/>
          <a:ext cx="12889230" cy="4541520"/>
          <a:chOff x="4152900" y="419100"/>
          <a:chExt cx="12489180" cy="4476750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0C7B66DC-52A7-F7FF-FF03-2930330A70B6}"/>
              </a:ext>
            </a:extLst>
          </xdr:cNvPr>
          <xdr:cNvGrpSpPr/>
        </xdr:nvGrpSpPr>
        <xdr:grpSpPr>
          <a:xfrm>
            <a:off x="4152900" y="419100"/>
            <a:ext cx="12489180" cy="4476750"/>
            <a:chOff x="4152900" y="419100"/>
            <a:chExt cx="12489180" cy="4476750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" name="Picture 2">
                  <a:extLst>
                    <a:ext uri="{FF2B5EF4-FFF2-40B4-BE49-F238E27FC236}">
                      <a16:creationId xmlns:a16="http://schemas.microsoft.com/office/drawing/2014/main" id="{14D7C663-6E9B-431B-6A9A-97C13AF4C292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'Scheduling Critical Path'!$B$8:$E$20" spid="_x0000_s9193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8865870" y="2647950"/>
                  <a:ext cx="4602480" cy="22479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5" name="Picture 4">
                  <a:extLst>
                    <a:ext uri="{FF2B5EF4-FFF2-40B4-BE49-F238E27FC236}">
                      <a16:creationId xmlns:a16="http://schemas.microsoft.com/office/drawing/2014/main" id="{3660B31F-271A-5E64-6957-BECDF45DD093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$4:$D$7" spid="_x0000_s9194"/>
                    </a:ext>
                  </a:extLst>
                </xdr:cNvPicPr>
              </xdr:nvPicPr>
              <xdr:blipFill>
                <a:blip xmlns:r="http://schemas.openxmlformats.org/officeDocument/2006/relationships" r:embed="rId2"/>
                <a:srcRect/>
                <a:stretch>
                  <a:fillRect/>
                </a:stretch>
              </xdr:blipFill>
              <xdr:spPr bwMode="auto">
                <a:xfrm>
                  <a:off x="4152900" y="4191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7" name="Picture 6">
                  <a:extLst>
                    <a:ext uri="{FF2B5EF4-FFF2-40B4-BE49-F238E27FC236}">
                      <a16:creationId xmlns:a16="http://schemas.microsoft.com/office/drawing/2014/main" id="{64B6C813-3C8D-0E34-C9E0-DBE7EDD99F0B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F$4:$H$7" spid="_x0000_s9195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rcRect/>
                <a:stretch>
                  <a:fillRect/>
                </a:stretch>
              </xdr:blipFill>
              <xdr:spPr bwMode="auto">
                <a:xfrm>
                  <a:off x="6067425" y="4191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8" name="Picture 7">
                  <a:extLst>
                    <a:ext uri="{FF2B5EF4-FFF2-40B4-BE49-F238E27FC236}">
                      <a16:creationId xmlns:a16="http://schemas.microsoft.com/office/drawing/2014/main" id="{E9A24CFD-9190-3019-37BE-2D365E7D401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$9:$D$12" spid="_x0000_s9196"/>
                    </a:ext>
                  </a:extLst>
                </xdr:cNvPicPr>
              </xdr:nvPicPr>
              <xdr:blipFill>
                <a:blip xmlns:r="http://schemas.openxmlformats.org/officeDocument/2006/relationships" r:embed="rId4"/>
                <a:srcRect/>
                <a:stretch>
                  <a:fillRect/>
                </a:stretch>
              </xdr:blipFill>
              <xdr:spPr bwMode="auto">
                <a:xfrm>
                  <a:off x="6067425" y="14859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0" name="Picture 9">
                  <a:extLst>
                    <a:ext uri="{FF2B5EF4-FFF2-40B4-BE49-F238E27FC236}">
                      <a16:creationId xmlns:a16="http://schemas.microsoft.com/office/drawing/2014/main" id="{5E4CE47E-3F42-162C-8770-2CFEE364DA59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F$9:$H$12" spid="_x0000_s9197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6067425" y="25527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2" name="Picture 11">
                  <a:extLst>
                    <a:ext uri="{FF2B5EF4-FFF2-40B4-BE49-F238E27FC236}">
                      <a16:creationId xmlns:a16="http://schemas.microsoft.com/office/drawing/2014/main" id="{92C69C4D-61DA-F36B-2B64-EAB0FC302B47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$14:$D$17" spid="_x0000_s9198"/>
                    </a:ext>
                  </a:extLst>
                </xdr:cNvPicPr>
              </xdr:nvPicPr>
              <xdr:blipFill>
                <a:blip xmlns:r="http://schemas.openxmlformats.org/officeDocument/2006/relationships" r:embed="rId6"/>
                <a:srcRect/>
                <a:stretch>
                  <a:fillRect/>
                </a:stretch>
              </xdr:blipFill>
              <xdr:spPr bwMode="auto">
                <a:xfrm>
                  <a:off x="6067425" y="36195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3" name="Picture 12">
                  <a:extLst>
                    <a:ext uri="{FF2B5EF4-FFF2-40B4-BE49-F238E27FC236}">
                      <a16:creationId xmlns:a16="http://schemas.microsoft.com/office/drawing/2014/main" id="{ABBD0B0A-2E39-FD73-CA30-32FFBAED80C6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F$14:$H$17" spid="_x0000_s9199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rcRect/>
                <a:stretch>
                  <a:fillRect/>
                </a:stretch>
              </xdr:blipFill>
              <xdr:spPr bwMode="auto">
                <a:xfrm>
                  <a:off x="8039100" y="4191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5" name="Picture 14">
                  <a:extLst>
                    <a:ext uri="{FF2B5EF4-FFF2-40B4-BE49-F238E27FC236}">
                      <a16:creationId xmlns:a16="http://schemas.microsoft.com/office/drawing/2014/main" id="{72FF79A5-47FB-D796-251E-E2A2E44C4823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$19:$D$22" spid="_x0000_s9200"/>
                    </a:ext>
                  </a:extLst>
                </xdr:cNvPicPr>
              </xdr:nvPicPr>
              <xdr:blipFill>
                <a:blip xmlns:r="http://schemas.openxmlformats.org/officeDocument/2006/relationships" r:embed="rId8"/>
                <a:srcRect/>
                <a:stretch>
                  <a:fillRect/>
                </a:stretch>
              </xdr:blipFill>
              <xdr:spPr bwMode="auto">
                <a:xfrm>
                  <a:off x="9982200" y="4191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6" name="Picture 15">
                  <a:extLst>
                    <a:ext uri="{FF2B5EF4-FFF2-40B4-BE49-F238E27FC236}">
                      <a16:creationId xmlns:a16="http://schemas.microsoft.com/office/drawing/2014/main" id="{763A9B90-F04D-A1D5-F898-5E1E053E638C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F$19:$H$22" spid="_x0000_s9201"/>
                    </a:ext>
                  </a:extLst>
                </xdr:cNvPicPr>
              </xdr:nvPicPr>
              <xdr:blipFill>
                <a:blip xmlns:r="http://schemas.openxmlformats.org/officeDocument/2006/relationships" r:embed="rId9"/>
                <a:srcRect/>
                <a:stretch>
                  <a:fillRect/>
                </a:stretch>
              </xdr:blipFill>
              <xdr:spPr bwMode="auto">
                <a:xfrm>
                  <a:off x="9982200" y="14859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41F41558-1080-C7BE-E7BF-252D2DC47233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$24:$D$27" spid="_x0000_s9202"/>
                    </a:ext>
                  </a:extLst>
                </xdr:cNvPicPr>
              </xdr:nvPicPr>
              <xdr:blipFill>
                <a:blip xmlns:r="http://schemas.openxmlformats.org/officeDocument/2006/relationships" r:embed="rId10"/>
                <a:srcRect/>
                <a:stretch>
                  <a:fillRect/>
                </a:stretch>
              </xdr:blipFill>
              <xdr:spPr bwMode="auto">
                <a:xfrm>
                  <a:off x="11744325" y="4191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9" name="Picture 18">
                  <a:extLst>
                    <a:ext uri="{FF2B5EF4-FFF2-40B4-BE49-F238E27FC236}">
                      <a16:creationId xmlns:a16="http://schemas.microsoft.com/office/drawing/2014/main" id="{5D96CD32-3EE2-5052-C2A9-A095255548ED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F$24:$H$27" spid="_x0000_s9203"/>
                    </a:ext>
                  </a:extLst>
                </xdr:cNvPicPr>
              </xdr:nvPicPr>
              <xdr:blipFill>
                <a:blip xmlns:r="http://schemas.openxmlformats.org/officeDocument/2006/relationships" r:embed="rId11"/>
                <a:srcRect/>
                <a:stretch>
                  <a:fillRect/>
                </a:stretch>
              </xdr:blipFill>
              <xdr:spPr bwMode="auto">
                <a:xfrm>
                  <a:off x="13544550" y="4191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0" name="Picture 19">
                  <a:extLst>
                    <a:ext uri="{FF2B5EF4-FFF2-40B4-BE49-F238E27FC236}">
                      <a16:creationId xmlns:a16="http://schemas.microsoft.com/office/drawing/2014/main" id="{A7F31C41-F509-8F94-A80A-AEF275DA14B5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$29:$D$32" spid="_x0000_s9204"/>
                    </a:ext>
                  </a:extLst>
                </xdr:cNvPicPr>
              </xdr:nvPicPr>
              <xdr:blipFill>
                <a:blip xmlns:r="http://schemas.openxmlformats.org/officeDocument/2006/relationships" r:embed="rId12"/>
                <a:srcRect/>
                <a:stretch>
                  <a:fillRect/>
                </a:stretch>
              </xdr:blipFill>
              <xdr:spPr bwMode="auto">
                <a:xfrm>
                  <a:off x="15278100" y="419100"/>
                  <a:ext cx="1363980" cy="90297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xnSp macro="">
          <xdr:nvCxnSpPr>
            <xdr:cNvPr id="4" name="Straight Arrow Connector 3">
              <a:extLst>
                <a:ext uri="{FF2B5EF4-FFF2-40B4-BE49-F238E27FC236}">
                  <a16:creationId xmlns:a16="http://schemas.microsoft.com/office/drawing/2014/main" id="{52F71D2E-CC50-7C00-0FDB-AEE5D416F571}"/>
                </a:ext>
              </a:extLst>
            </xdr:cNvPr>
            <xdr:cNvCxnSpPr>
              <a:stCxn id="5" idx="3"/>
              <a:endCxn id="7" idx="1"/>
            </xdr:cNvCxnSpPr>
          </xdr:nvCxnSpPr>
          <xdr:spPr>
            <a:xfrm>
              <a:off x="5516880" y="870585"/>
              <a:ext cx="550545" cy="0"/>
            </a:xfrm>
            <a:prstGeom prst="straightConnector1">
              <a:avLst/>
            </a:prstGeom>
            <a:ln w="12700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Connector: Elbow 8">
              <a:extLst>
                <a:ext uri="{FF2B5EF4-FFF2-40B4-BE49-F238E27FC236}">
                  <a16:creationId xmlns:a16="http://schemas.microsoft.com/office/drawing/2014/main" id="{D8769DF2-88DD-B840-132A-8F63F6C9AE2C}"/>
                </a:ext>
              </a:extLst>
            </xdr:cNvPr>
            <xdr:cNvCxnSpPr>
              <a:stCxn id="5" idx="3"/>
              <a:endCxn id="8" idx="1"/>
            </xdr:cNvCxnSpPr>
          </xdr:nvCxnSpPr>
          <xdr:spPr>
            <a:xfrm>
              <a:off x="5516880" y="870585"/>
              <a:ext cx="550545" cy="1066800"/>
            </a:xfrm>
            <a:prstGeom prst="bentConnector3">
              <a:avLst/>
            </a:prstGeom>
            <a:ln w="12700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Connector: Elbow 13">
              <a:extLst>
                <a:ext uri="{FF2B5EF4-FFF2-40B4-BE49-F238E27FC236}">
                  <a16:creationId xmlns:a16="http://schemas.microsoft.com/office/drawing/2014/main" id="{91DAE43B-5AC8-D5B8-0380-DEB246DCD286}"/>
                </a:ext>
              </a:extLst>
            </xdr:cNvPr>
            <xdr:cNvCxnSpPr>
              <a:stCxn id="5" idx="3"/>
              <a:endCxn id="10" idx="1"/>
            </xdr:cNvCxnSpPr>
          </xdr:nvCxnSpPr>
          <xdr:spPr>
            <a:xfrm>
              <a:off x="5516880" y="870585"/>
              <a:ext cx="550545" cy="2133600"/>
            </a:xfrm>
            <a:prstGeom prst="bentConnector3">
              <a:avLst/>
            </a:prstGeom>
            <a:ln w="12700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nector: Elbow 20">
              <a:extLst>
                <a:ext uri="{FF2B5EF4-FFF2-40B4-BE49-F238E27FC236}">
                  <a16:creationId xmlns:a16="http://schemas.microsoft.com/office/drawing/2014/main" id="{0901167B-6C2D-B72A-50B6-A30F38BA545F}"/>
                </a:ext>
              </a:extLst>
            </xdr:cNvPr>
            <xdr:cNvCxnSpPr/>
          </xdr:nvCxnSpPr>
          <xdr:spPr>
            <a:xfrm>
              <a:off x="5514629" y="868680"/>
              <a:ext cx="540000" cy="3200400"/>
            </a:xfrm>
            <a:prstGeom prst="bentConnector3">
              <a:avLst/>
            </a:prstGeom>
            <a:ln w="12700"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1EAD93D4-B993-6CEA-B093-081CEE42C739}"/>
                </a:ext>
              </a:extLst>
            </xdr:cNvPr>
            <xdr:cNvCxnSpPr>
              <a:stCxn id="7" idx="3"/>
              <a:endCxn id="13" idx="1"/>
            </xdr:cNvCxnSpPr>
          </xdr:nvCxnSpPr>
          <xdr:spPr>
            <a:xfrm>
              <a:off x="7431405" y="870585"/>
              <a:ext cx="607695" cy="0"/>
            </a:xfrm>
            <a:prstGeom prst="straightConnector1">
              <a:avLst/>
            </a:prstGeom>
            <a:ln w="12700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Connector: Elbow 24">
              <a:extLst>
                <a:ext uri="{FF2B5EF4-FFF2-40B4-BE49-F238E27FC236}">
                  <a16:creationId xmlns:a16="http://schemas.microsoft.com/office/drawing/2014/main" id="{6E0B231E-08EE-3726-FD57-A5DEB6A991B7}"/>
                </a:ext>
              </a:extLst>
            </xdr:cNvPr>
            <xdr:cNvCxnSpPr>
              <a:stCxn id="8" idx="3"/>
              <a:endCxn id="13" idx="1"/>
            </xdr:cNvCxnSpPr>
          </xdr:nvCxnSpPr>
          <xdr:spPr>
            <a:xfrm flipV="1">
              <a:off x="7431405" y="870585"/>
              <a:ext cx="607695" cy="1066800"/>
            </a:xfrm>
            <a:prstGeom prst="bentConnector3">
              <a:avLst/>
            </a:prstGeom>
            <a:ln w="12700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Connector: Elbow 26">
              <a:extLst>
                <a:ext uri="{FF2B5EF4-FFF2-40B4-BE49-F238E27FC236}">
                  <a16:creationId xmlns:a16="http://schemas.microsoft.com/office/drawing/2014/main" id="{BFE698C4-F45A-8885-EA5C-CC3801C4FF60}"/>
                </a:ext>
              </a:extLst>
            </xdr:cNvPr>
            <xdr:cNvCxnSpPr>
              <a:stCxn id="10" idx="3"/>
              <a:endCxn id="13" idx="1"/>
            </xdr:cNvCxnSpPr>
          </xdr:nvCxnSpPr>
          <xdr:spPr>
            <a:xfrm flipV="1">
              <a:off x="7431405" y="870585"/>
              <a:ext cx="607695" cy="2133600"/>
            </a:xfrm>
            <a:prstGeom prst="bentConnector3">
              <a:avLst/>
            </a:prstGeom>
            <a:ln w="12700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Connector: Elbow 28">
              <a:extLst>
                <a:ext uri="{FF2B5EF4-FFF2-40B4-BE49-F238E27FC236}">
                  <a16:creationId xmlns:a16="http://schemas.microsoft.com/office/drawing/2014/main" id="{E4B6D946-9521-5598-84B5-241A4AF646BE}"/>
                </a:ext>
              </a:extLst>
            </xdr:cNvPr>
            <xdr:cNvCxnSpPr>
              <a:stCxn id="12" idx="3"/>
              <a:endCxn id="13" idx="1"/>
            </xdr:cNvCxnSpPr>
          </xdr:nvCxnSpPr>
          <xdr:spPr>
            <a:xfrm flipV="1">
              <a:off x="7431405" y="870585"/>
              <a:ext cx="607695" cy="3200400"/>
            </a:xfrm>
            <a:prstGeom prst="bentConnector3">
              <a:avLst/>
            </a:prstGeom>
            <a:ln w="12700"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31" name="Straight Arrow Connector 30">
              <a:extLst>
                <a:ext uri="{FF2B5EF4-FFF2-40B4-BE49-F238E27FC236}">
                  <a16:creationId xmlns:a16="http://schemas.microsoft.com/office/drawing/2014/main" id="{21A6C77D-4865-F1B8-A55F-3860C26D575D}"/>
                </a:ext>
              </a:extLst>
            </xdr:cNvPr>
            <xdr:cNvCxnSpPr>
              <a:stCxn id="13" idx="3"/>
              <a:endCxn id="15" idx="1"/>
            </xdr:cNvCxnSpPr>
          </xdr:nvCxnSpPr>
          <xdr:spPr>
            <a:xfrm>
              <a:off x="9403080" y="870585"/>
              <a:ext cx="579120" cy="0"/>
            </a:xfrm>
            <a:prstGeom prst="straightConnector1">
              <a:avLst/>
            </a:prstGeom>
            <a:ln w="12700"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33" name="Connector: Elbow 32">
              <a:extLst>
                <a:ext uri="{FF2B5EF4-FFF2-40B4-BE49-F238E27FC236}">
                  <a16:creationId xmlns:a16="http://schemas.microsoft.com/office/drawing/2014/main" id="{1522EF7C-6D14-3929-5EB3-D027BA9080D8}"/>
                </a:ext>
              </a:extLst>
            </xdr:cNvPr>
            <xdr:cNvCxnSpPr>
              <a:stCxn id="13" idx="3"/>
              <a:endCxn id="16" idx="1"/>
            </xdr:cNvCxnSpPr>
          </xdr:nvCxnSpPr>
          <xdr:spPr>
            <a:xfrm>
              <a:off x="9403080" y="870585"/>
              <a:ext cx="579120" cy="1066800"/>
            </a:xfrm>
            <a:prstGeom prst="bentConnector3">
              <a:avLst/>
            </a:prstGeom>
            <a:ln w="12700"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AFF47C63-E2BF-551D-CD9A-C6F8B9740D37}"/>
                </a:ext>
              </a:extLst>
            </xdr:cNvPr>
            <xdr:cNvCxnSpPr>
              <a:stCxn id="15" idx="3"/>
              <a:endCxn id="17" idx="1"/>
            </xdr:cNvCxnSpPr>
          </xdr:nvCxnSpPr>
          <xdr:spPr>
            <a:xfrm>
              <a:off x="11346180" y="870585"/>
              <a:ext cx="398145" cy="0"/>
            </a:xfrm>
            <a:prstGeom prst="straightConnector1">
              <a:avLst/>
            </a:prstGeom>
            <a:ln w="12700"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AB701AC2-238D-C7A3-2F2D-680C73E3C86F}"/>
                </a:ext>
              </a:extLst>
            </xdr:cNvPr>
            <xdr:cNvCxnSpPr>
              <a:stCxn id="17" idx="3"/>
              <a:endCxn id="19" idx="1"/>
            </xdr:cNvCxnSpPr>
          </xdr:nvCxnSpPr>
          <xdr:spPr>
            <a:xfrm>
              <a:off x="13108305" y="870585"/>
              <a:ext cx="436245" cy="0"/>
            </a:xfrm>
            <a:prstGeom prst="straightConnector1">
              <a:avLst/>
            </a:prstGeom>
            <a:ln w="12700"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2C2862BF-ED0A-9624-72E6-4E9464A380E0}"/>
                </a:ext>
              </a:extLst>
            </xdr:cNvPr>
            <xdr:cNvCxnSpPr>
              <a:stCxn id="19" idx="3"/>
              <a:endCxn id="20" idx="1"/>
            </xdr:cNvCxnSpPr>
          </xdr:nvCxnSpPr>
          <xdr:spPr>
            <a:xfrm>
              <a:off x="14908530" y="870585"/>
              <a:ext cx="369570" cy="0"/>
            </a:xfrm>
            <a:prstGeom prst="straightConnector1">
              <a:avLst/>
            </a:prstGeom>
            <a:ln w="12700"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  <xdr:pic>
        <xdr:nvPicPr>
          <xdr:cNvPr id="2" name="Picture 1">
            <a:extLst>
              <a:ext uri="{FF2B5EF4-FFF2-40B4-BE49-F238E27FC236}">
                <a16:creationId xmlns:a16="http://schemas.microsoft.com/office/drawing/2014/main" id="{8416D4A7-AB4A-A765-8C7C-41602AD15D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3982700" y="2095500"/>
            <a:ext cx="2457793" cy="13241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10</xdr:row>
      <xdr:rowOff>0</xdr:rowOff>
    </xdr:from>
    <xdr:to>
      <xdr:col>8</xdr:col>
      <xdr:colOff>304800</xdr:colOff>
      <xdr:row>11</xdr:row>
      <xdr:rowOff>142875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089401D1-2DA5-6569-0D8A-68B40716E0C5}"/>
            </a:ext>
          </a:extLst>
        </xdr:cNvPr>
        <xdr:cNvSpPr>
          <a:spLocks noChangeAspect="1" noChangeArrowheads="1"/>
        </xdr:cNvSpPr>
      </xdr:nvSpPr>
      <xdr:spPr bwMode="auto">
        <a:xfrm>
          <a:off x="1209675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47625</xdr:colOff>
      <xdr:row>1</xdr:row>
      <xdr:rowOff>0</xdr:rowOff>
    </xdr:from>
    <xdr:to>
      <xdr:col>14</xdr:col>
      <xdr:colOff>192466</xdr:colOff>
      <xdr:row>19</xdr:row>
      <xdr:rowOff>95693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F21CA7-3331-29BD-310C-F1FAFF181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" y="161925"/>
          <a:ext cx="14089441" cy="3172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1190-21E3-4257-A524-A638C5F95B5E}">
  <sheetPr>
    <outlinePr summaryBelow="0" summaryRight="0"/>
  </sheetPr>
  <dimension ref="B1:H30"/>
  <sheetViews>
    <sheetView showGridLines="0" topLeftCell="A14" workbookViewId="0">
      <selection activeCell="H41" sqref="H41"/>
    </sheetView>
  </sheetViews>
  <sheetFormatPr defaultColWidth="12.5546875" defaultRowHeight="13.95" customHeight="1" x14ac:dyDescent="0.25"/>
  <cols>
    <col min="1" max="1" width="5.6640625" style="1" customWidth="1"/>
    <col min="2" max="2" width="11.5546875" style="1" customWidth="1"/>
    <col min="3" max="3" width="32.33203125" style="1" bestFit="1" customWidth="1"/>
    <col min="4" max="4" width="50.6640625" style="1" customWidth="1"/>
    <col min="5" max="7" width="15.6640625" style="1" customWidth="1"/>
    <col min="8" max="8" width="25.6640625" style="1" customWidth="1"/>
    <col min="9" max="9" width="12.5546875" style="1" customWidth="1"/>
    <col min="10" max="16384" width="12.5546875" style="1"/>
  </cols>
  <sheetData>
    <row r="1" spans="2:8" ht="13.95" customHeight="1" x14ac:dyDescent="0.25">
      <c r="B1" s="9" t="s">
        <v>0</v>
      </c>
      <c r="C1" s="9"/>
      <c r="D1" s="9"/>
      <c r="E1" s="9"/>
      <c r="F1" s="9"/>
      <c r="G1" s="9"/>
      <c r="H1" s="10"/>
    </row>
    <row r="2" spans="2:8" ht="13.95" customHeight="1" x14ac:dyDescent="0.25">
      <c r="B2" s="9"/>
      <c r="C2" s="9"/>
      <c r="D2" s="9"/>
      <c r="E2" s="9"/>
      <c r="F2" s="9"/>
      <c r="G2" s="9"/>
      <c r="H2" s="10"/>
    </row>
    <row r="3" spans="2:8" ht="13.95" customHeight="1" x14ac:dyDescent="0.25">
      <c r="B3" s="11" t="s">
        <v>1</v>
      </c>
      <c r="E3" s="12" t="s">
        <v>2</v>
      </c>
      <c r="F3" s="13"/>
      <c r="G3" s="13"/>
      <c r="H3" s="10"/>
    </row>
    <row r="4" spans="2:8" ht="13.95" customHeight="1" x14ac:dyDescent="0.25">
      <c r="B4" s="18" t="s">
        <v>3</v>
      </c>
      <c r="C4" s="17"/>
      <c r="D4" s="13"/>
      <c r="E4" s="15"/>
      <c r="F4" s="13"/>
      <c r="H4" s="10"/>
    </row>
    <row r="5" spans="2:8" ht="13.95" customHeight="1" x14ac:dyDescent="0.25">
      <c r="B5" s="11" t="s">
        <v>4</v>
      </c>
      <c r="E5" s="12" t="s">
        <v>5</v>
      </c>
      <c r="F5" s="13"/>
      <c r="G5" s="28" t="s">
        <v>6</v>
      </c>
      <c r="H5" s="10"/>
    </row>
    <row r="6" spans="2:8" ht="13.95" customHeight="1" x14ac:dyDescent="0.25">
      <c r="B6" s="16"/>
      <c r="C6" s="17"/>
      <c r="D6" s="13"/>
      <c r="E6" s="15"/>
      <c r="F6" s="13"/>
      <c r="G6" s="15"/>
      <c r="H6" s="10"/>
    </row>
    <row r="7" spans="2:8" ht="13.95" customHeight="1" x14ac:dyDescent="0.25">
      <c r="B7" s="10"/>
      <c r="C7" s="13"/>
      <c r="D7" s="11"/>
      <c r="E7" s="11"/>
      <c r="F7" s="11"/>
      <c r="G7" s="11"/>
      <c r="H7" s="11"/>
    </row>
    <row r="8" spans="2:8" ht="13.95" customHeight="1" x14ac:dyDescent="0.25">
      <c r="B8" s="40" t="s">
        <v>7</v>
      </c>
      <c r="C8" s="41" t="s">
        <v>8</v>
      </c>
      <c r="D8" s="41" t="s">
        <v>9</v>
      </c>
      <c r="E8" s="41" t="s">
        <v>2</v>
      </c>
      <c r="F8" s="41" t="s">
        <v>5</v>
      </c>
      <c r="G8" s="41" t="s">
        <v>10</v>
      </c>
      <c r="H8" s="42" t="s">
        <v>11</v>
      </c>
    </row>
    <row r="9" spans="2:8" ht="13.95" customHeight="1" x14ac:dyDescent="0.25">
      <c r="B9" s="10"/>
      <c r="C9" s="11"/>
      <c r="D9" s="11"/>
      <c r="E9" s="11"/>
      <c r="F9" s="11"/>
      <c r="G9" s="11"/>
      <c r="H9" s="9"/>
    </row>
    <row r="10" spans="2:8" ht="13.95" customHeight="1" x14ac:dyDescent="0.25">
      <c r="B10" s="10">
        <v>1</v>
      </c>
      <c r="C10" s="11" t="s">
        <v>12</v>
      </c>
      <c r="D10" s="43"/>
      <c r="E10" s="13"/>
      <c r="F10" s="13"/>
      <c r="G10" s="13"/>
      <c r="H10" s="44"/>
    </row>
    <row r="11" spans="2:8" ht="26.4" x14ac:dyDescent="0.25">
      <c r="B11" s="45">
        <v>1.1000000000000001</v>
      </c>
      <c r="C11" s="46" t="s">
        <v>13</v>
      </c>
      <c r="D11" s="47" t="s">
        <v>14</v>
      </c>
      <c r="E11" s="46"/>
      <c r="F11" s="46"/>
      <c r="G11" s="46"/>
      <c r="H11" s="48"/>
    </row>
    <row r="12" spans="2:8" ht="26.4" x14ac:dyDescent="0.25">
      <c r="B12" s="45">
        <v>1.2</v>
      </c>
      <c r="C12" s="46" t="s">
        <v>15</v>
      </c>
      <c r="D12" s="47" t="s">
        <v>16</v>
      </c>
      <c r="E12" s="46"/>
      <c r="F12" s="46"/>
      <c r="G12" s="46"/>
      <c r="H12" s="48"/>
    </row>
    <row r="13" spans="2:8" ht="26.4" x14ac:dyDescent="0.25">
      <c r="B13" s="45">
        <v>1.3</v>
      </c>
      <c r="C13" s="46" t="s">
        <v>17</v>
      </c>
      <c r="D13" s="47" t="s">
        <v>18</v>
      </c>
      <c r="E13" s="46"/>
      <c r="F13" s="46"/>
      <c r="G13" s="46"/>
      <c r="H13" s="48"/>
    </row>
    <row r="14" spans="2:8" ht="13.95" customHeight="1" x14ac:dyDescent="0.25">
      <c r="B14" s="38"/>
      <c r="C14" s="13"/>
      <c r="D14" s="43"/>
      <c r="E14" s="13"/>
      <c r="F14" s="13"/>
      <c r="G14" s="13"/>
      <c r="H14" s="44"/>
    </row>
    <row r="15" spans="2:8" ht="13.95" customHeight="1" x14ac:dyDescent="0.25">
      <c r="B15" s="10">
        <v>2</v>
      </c>
      <c r="C15" s="11" t="s">
        <v>19</v>
      </c>
      <c r="D15" s="43"/>
      <c r="E15" s="13"/>
      <c r="F15" s="13"/>
      <c r="G15" s="13"/>
      <c r="H15" s="13"/>
    </row>
    <row r="16" spans="2:8" ht="13.95" customHeight="1" x14ac:dyDescent="0.25">
      <c r="B16" s="45">
        <v>2.1</v>
      </c>
      <c r="C16" s="46" t="s">
        <v>20</v>
      </c>
      <c r="D16" s="47" t="s">
        <v>21</v>
      </c>
      <c r="E16" s="46"/>
      <c r="F16" s="46"/>
      <c r="G16" s="46"/>
      <c r="H16" s="48"/>
    </row>
    <row r="17" spans="2:4" ht="13.95" customHeight="1" x14ac:dyDescent="0.25">
      <c r="B17" s="45">
        <v>2.2000000000000002</v>
      </c>
      <c r="C17" s="46" t="s">
        <v>22</v>
      </c>
      <c r="D17" s="47" t="s">
        <v>23</v>
      </c>
    </row>
    <row r="18" spans="2:4" ht="13.95" customHeight="1" x14ac:dyDescent="0.25">
      <c r="B18" s="45">
        <v>2.2999999999999998</v>
      </c>
      <c r="C18" s="46" t="s">
        <v>24</v>
      </c>
      <c r="D18" s="47" t="s">
        <v>25</v>
      </c>
    </row>
    <row r="19" spans="2:4" ht="13.95" customHeight="1" x14ac:dyDescent="0.25">
      <c r="B19" s="45">
        <v>2.4</v>
      </c>
      <c r="C19" s="46" t="s">
        <v>26</v>
      </c>
      <c r="D19" s="47" t="s">
        <v>27</v>
      </c>
    </row>
    <row r="20" spans="2:4" ht="13.95" customHeight="1" x14ac:dyDescent="0.25">
      <c r="B20" s="38"/>
      <c r="C20" s="13"/>
      <c r="D20" s="43"/>
    </row>
    <row r="21" spans="2:4" ht="13.95" customHeight="1" x14ac:dyDescent="0.25">
      <c r="B21" s="10">
        <v>3</v>
      </c>
      <c r="C21" s="11" t="s">
        <v>28</v>
      </c>
      <c r="D21" s="43"/>
    </row>
    <row r="22" spans="2:4" ht="13.95" customHeight="1" x14ac:dyDescent="0.25">
      <c r="B22" s="45">
        <v>3.1</v>
      </c>
      <c r="C22" s="46" t="s">
        <v>29</v>
      </c>
      <c r="D22" s="47" t="s">
        <v>30</v>
      </c>
    </row>
    <row r="23" spans="2:4" ht="13.95" customHeight="1" x14ac:dyDescent="0.25">
      <c r="B23" s="45">
        <v>3.2</v>
      </c>
      <c r="C23" s="46" t="s">
        <v>31</v>
      </c>
      <c r="D23" s="47" t="s">
        <v>32</v>
      </c>
    </row>
    <row r="24" spans="2:4" ht="13.95" customHeight="1" x14ac:dyDescent="0.25">
      <c r="B24" s="45">
        <v>3.3</v>
      </c>
      <c r="C24" s="46" t="s">
        <v>33</v>
      </c>
      <c r="D24" s="47" t="s">
        <v>34</v>
      </c>
    </row>
    <row r="25" spans="2:4" ht="13.95" customHeight="1" x14ac:dyDescent="0.25">
      <c r="B25" s="38"/>
      <c r="C25" s="13"/>
      <c r="D25" s="43"/>
    </row>
    <row r="26" spans="2:4" ht="13.95" customHeight="1" x14ac:dyDescent="0.25">
      <c r="B26" s="10">
        <v>4</v>
      </c>
      <c r="C26" s="11" t="s">
        <v>35</v>
      </c>
      <c r="D26" s="43"/>
    </row>
    <row r="27" spans="2:4" ht="13.95" customHeight="1" x14ac:dyDescent="0.25">
      <c r="B27" s="45">
        <v>4.0999999999999996</v>
      </c>
      <c r="C27" s="46" t="s">
        <v>36</v>
      </c>
      <c r="D27" s="47" t="s">
        <v>37</v>
      </c>
    </row>
    <row r="28" spans="2:4" ht="13.95" customHeight="1" x14ac:dyDescent="0.25">
      <c r="B28" s="45">
        <v>4.2</v>
      </c>
      <c r="C28" s="46" t="s">
        <v>38</v>
      </c>
      <c r="D28" s="47" t="s">
        <v>39</v>
      </c>
    </row>
    <row r="29" spans="2:4" ht="13.95" customHeight="1" x14ac:dyDescent="0.25">
      <c r="B29" s="45">
        <v>4.3</v>
      </c>
      <c r="C29" s="46" t="s">
        <v>40</v>
      </c>
      <c r="D29" s="47" t="s">
        <v>41</v>
      </c>
    </row>
    <row r="30" spans="2:4" ht="13.95" customHeight="1" x14ac:dyDescent="0.25">
      <c r="B30" s="45">
        <v>4.4000000000000004</v>
      </c>
      <c r="C30" s="46" t="s">
        <v>42</v>
      </c>
      <c r="D30" s="47" t="s">
        <v>43</v>
      </c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A60C-72CB-4C08-BE23-E37E6CDE5B9E}">
  <sheetPr>
    <outlinePr summaryBelow="0" summaryRight="0"/>
  </sheetPr>
  <dimension ref="B1:H27"/>
  <sheetViews>
    <sheetView showGridLines="0" topLeftCell="A28" workbookViewId="0">
      <selection activeCell="H43" sqref="H43"/>
    </sheetView>
  </sheetViews>
  <sheetFormatPr defaultColWidth="12.5546875" defaultRowHeight="13.95" customHeight="1" x14ac:dyDescent="0.25"/>
  <cols>
    <col min="1" max="1" width="5.6640625" style="1" customWidth="1"/>
    <col min="2" max="2" width="11.5546875" style="1" customWidth="1"/>
    <col min="3" max="3" width="32.33203125" style="1" bestFit="1" customWidth="1"/>
    <col min="4" max="4" width="50.6640625" style="1" customWidth="1"/>
    <col min="5" max="7" width="15.6640625" style="1" customWidth="1"/>
    <col min="8" max="8" width="25.6640625" style="1" customWidth="1"/>
    <col min="9" max="9" width="12.5546875" style="1" customWidth="1"/>
    <col min="10" max="16384" width="12.5546875" style="1"/>
  </cols>
  <sheetData>
    <row r="1" spans="2:8" ht="13.95" customHeight="1" x14ac:dyDescent="0.25">
      <c r="B1" s="9" t="s">
        <v>0</v>
      </c>
      <c r="C1" s="9"/>
      <c r="D1" s="9"/>
      <c r="E1" s="9"/>
      <c r="F1" s="9"/>
      <c r="G1" s="9"/>
      <c r="H1" s="10"/>
    </row>
    <row r="2" spans="2:8" ht="13.95" customHeight="1" x14ac:dyDescent="0.25">
      <c r="B2" s="9"/>
      <c r="C2" s="9"/>
      <c r="D2" s="9"/>
      <c r="E2" s="9"/>
      <c r="F2" s="9"/>
      <c r="G2" s="9"/>
      <c r="H2" s="10"/>
    </row>
    <row r="3" spans="2:8" ht="13.95" customHeight="1" x14ac:dyDescent="0.25">
      <c r="B3" s="11" t="s">
        <v>44</v>
      </c>
      <c r="E3" s="12" t="s">
        <v>2</v>
      </c>
      <c r="F3" s="13"/>
      <c r="G3" s="13"/>
      <c r="H3" s="10"/>
    </row>
    <row r="4" spans="2:8" ht="13.95" customHeight="1" x14ac:dyDescent="0.25">
      <c r="B4" s="18" t="s">
        <v>45</v>
      </c>
      <c r="C4" s="17"/>
      <c r="D4" s="13"/>
      <c r="E4" s="15"/>
      <c r="F4" s="13"/>
      <c r="H4" s="10"/>
    </row>
    <row r="5" spans="2:8" ht="13.95" customHeight="1" x14ac:dyDescent="0.25">
      <c r="B5" s="11" t="s">
        <v>46</v>
      </c>
      <c r="E5" s="12" t="s">
        <v>5</v>
      </c>
      <c r="F5" s="13"/>
      <c r="G5" s="28" t="s">
        <v>47</v>
      </c>
      <c r="H5" s="10"/>
    </row>
    <row r="6" spans="2:8" ht="13.95" customHeight="1" x14ac:dyDescent="0.25">
      <c r="B6" s="16"/>
      <c r="C6" s="17"/>
      <c r="D6" s="13"/>
      <c r="E6" s="15"/>
      <c r="F6" s="13"/>
      <c r="G6" s="15"/>
      <c r="H6" s="10"/>
    </row>
    <row r="7" spans="2:8" ht="13.95" customHeight="1" x14ac:dyDescent="0.25">
      <c r="B7" s="10"/>
      <c r="C7" s="13"/>
      <c r="D7" s="11"/>
      <c r="E7" s="11"/>
      <c r="F7" s="11"/>
      <c r="G7" s="11"/>
      <c r="H7" s="11"/>
    </row>
    <row r="8" spans="2:8" ht="13.95" customHeight="1" x14ac:dyDescent="0.25">
      <c r="B8" s="40" t="s">
        <v>7</v>
      </c>
      <c r="C8" s="41" t="s">
        <v>8</v>
      </c>
      <c r="D8" s="41" t="s">
        <v>9</v>
      </c>
      <c r="E8" s="41" t="s">
        <v>2</v>
      </c>
      <c r="F8" s="41" t="s">
        <v>5</v>
      </c>
      <c r="G8" s="41" t="s">
        <v>10</v>
      </c>
      <c r="H8" s="42" t="s">
        <v>11</v>
      </c>
    </row>
    <row r="9" spans="2:8" ht="13.95" customHeight="1" x14ac:dyDescent="0.25">
      <c r="B9" s="10"/>
      <c r="C9" s="11"/>
      <c r="D9" s="11"/>
      <c r="E9" s="11"/>
      <c r="F9" s="11"/>
      <c r="G9" s="11"/>
      <c r="H9" s="9"/>
    </row>
    <row r="10" spans="2:8" ht="13.95" customHeight="1" x14ac:dyDescent="0.25">
      <c r="B10" s="10">
        <v>3.1</v>
      </c>
      <c r="C10" s="11" t="s">
        <v>48</v>
      </c>
      <c r="D10" s="43"/>
      <c r="E10" s="13"/>
      <c r="F10" s="13"/>
      <c r="G10" s="13"/>
      <c r="H10" s="44"/>
    </row>
    <row r="11" spans="2:8" ht="13.2" x14ac:dyDescent="0.25">
      <c r="B11" s="45" t="s">
        <v>49</v>
      </c>
      <c r="C11" s="46" t="s">
        <v>50</v>
      </c>
      <c r="D11" s="47" t="s">
        <v>51</v>
      </c>
      <c r="E11" s="46"/>
      <c r="F11" s="46"/>
      <c r="G11" s="46"/>
      <c r="H11" s="48"/>
    </row>
    <row r="12" spans="2:8" ht="13.2" x14ac:dyDescent="0.25">
      <c r="B12" s="45" t="s">
        <v>52</v>
      </c>
      <c r="C12" s="46" t="s">
        <v>53</v>
      </c>
      <c r="D12" s="47" t="s">
        <v>54</v>
      </c>
      <c r="E12" s="46"/>
      <c r="F12" s="46"/>
      <c r="G12" s="46"/>
      <c r="H12" s="48"/>
    </row>
    <row r="13" spans="2:8" ht="26.4" x14ac:dyDescent="0.25">
      <c r="B13" s="45" t="s">
        <v>55</v>
      </c>
      <c r="C13" s="46" t="s">
        <v>56</v>
      </c>
      <c r="D13" s="47" t="s">
        <v>57</v>
      </c>
      <c r="E13" s="46"/>
      <c r="F13" s="46"/>
      <c r="G13" s="46"/>
      <c r="H13" s="48"/>
    </row>
    <row r="14" spans="2:8" ht="13.95" customHeight="1" x14ac:dyDescent="0.25">
      <c r="B14" s="38"/>
      <c r="C14" s="13"/>
      <c r="D14" s="43"/>
      <c r="E14" s="13"/>
      <c r="F14" s="13"/>
      <c r="G14" s="13"/>
      <c r="H14" s="44"/>
    </row>
    <row r="15" spans="2:8" ht="13.95" customHeight="1" x14ac:dyDescent="0.25">
      <c r="B15" s="10">
        <v>3.2</v>
      </c>
      <c r="C15" s="11" t="s">
        <v>58</v>
      </c>
      <c r="D15" s="43"/>
      <c r="E15" s="13"/>
      <c r="F15" s="13"/>
      <c r="G15" s="13"/>
      <c r="H15" s="13"/>
    </row>
    <row r="16" spans="2:8" ht="13.95" customHeight="1" x14ac:dyDescent="0.25">
      <c r="B16" s="45" t="s">
        <v>59</v>
      </c>
      <c r="C16" s="46" t="s">
        <v>60</v>
      </c>
      <c r="D16" s="47" t="s">
        <v>61</v>
      </c>
      <c r="E16" s="46"/>
      <c r="F16" s="46"/>
      <c r="G16" s="46"/>
      <c r="H16" s="48"/>
    </row>
    <row r="17" spans="2:4" ht="13.2" x14ac:dyDescent="0.25">
      <c r="B17" s="45" t="s">
        <v>62</v>
      </c>
      <c r="C17" s="46" t="s">
        <v>63</v>
      </c>
      <c r="D17" s="47" t="s">
        <v>64</v>
      </c>
    </row>
    <row r="18" spans="2:4" ht="26.4" x14ac:dyDescent="0.25">
      <c r="B18" s="45" t="s">
        <v>65</v>
      </c>
      <c r="C18" s="46" t="s">
        <v>66</v>
      </c>
      <c r="D18" s="47" t="s">
        <v>67</v>
      </c>
    </row>
    <row r="19" spans="2:4" ht="13.95" customHeight="1" x14ac:dyDescent="0.25">
      <c r="B19" s="38"/>
      <c r="C19" s="13"/>
      <c r="D19" s="43"/>
    </row>
    <row r="20" spans="2:4" ht="13.95" customHeight="1" x14ac:dyDescent="0.25">
      <c r="B20" s="10">
        <v>3.3</v>
      </c>
      <c r="C20" s="11" t="s">
        <v>68</v>
      </c>
      <c r="D20" s="43"/>
    </row>
    <row r="21" spans="2:4" ht="13.95" customHeight="1" x14ac:dyDescent="0.25">
      <c r="B21" s="45" t="s">
        <v>69</v>
      </c>
      <c r="C21" s="46" t="s">
        <v>70</v>
      </c>
      <c r="D21" s="47" t="s">
        <v>71</v>
      </c>
    </row>
    <row r="22" spans="2:4" ht="26.4" x14ac:dyDescent="0.25">
      <c r="B22" s="45" t="s">
        <v>72</v>
      </c>
      <c r="C22" s="46" t="s">
        <v>73</v>
      </c>
      <c r="D22" s="47" t="s">
        <v>74</v>
      </c>
    </row>
    <row r="23" spans="2:4" ht="13.95" customHeight="1" x14ac:dyDescent="0.25">
      <c r="B23" s="45" t="s">
        <v>75</v>
      </c>
      <c r="C23" s="46" t="s">
        <v>76</v>
      </c>
      <c r="D23" s="47" t="s">
        <v>77</v>
      </c>
    </row>
    <row r="24" spans="2:4" ht="13.95" customHeight="1" x14ac:dyDescent="0.25">
      <c r="B24" s="38"/>
      <c r="C24" s="13"/>
      <c r="D24" s="43"/>
    </row>
    <row r="25" spans="2:4" ht="13.95" customHeight="1" x14ac:dyDescent="0.25">
      <c r="B25" s="10">
        <v>3.4</v>
      </c>
      <c r="C25" s="11" t="s">
        <v>78</v>
      </c>
      <c r="D25" s="43"/>
    </row>
    <row r="26" spans="2:4" ht="26.4" x14ac:dyDescent="0.25">
      <c r="B26" s="45" t="s">
        <v>79</v>
      </c>
      <c r="C26" s="46" t="s">
        <v>80</v>
      </c>
      <c r="D26" s="47" t="s">
        <v>81</v>
      </c>
    </row>
    <row r="27" spans="2:4" ht="13.95" customHeight="1" x14ac:dyDescent="0.25">
      <c r="B27" s="45" t="s">
        <v>82</v>
      </c>
      <c r="C27" s="46" t="s">
        <v>83</v>
      </c>
      <c r="D27" s="47" t="s">
        <v>84</v>
      </c>
    </row>
  </sheetData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21AD-6F5A-4D84-821A-2755CA4A904C}">
  <sheetPr>
    <outlinePr summaryBelow="0" summaryRight="0"/>
  </sheetPr>
  <dimension ref="B1:H27"/>
  <sheetViews>
    <sheetView showGridLines="0" topLeftCell="A28" workbookViewId="0">
      <selection activeCell="J36" sqref="J36"/>
    </sheetView>
  </sheetViews>
  <sheetFormatPr defaultColWidth="12.5546875" defaultRowHeight="13.95" customHeight="1" x14ac:dyDescent="0.25"/>
  <cols>
    <col min="1" max="1" width="5.6640625" style="1" customWidth="1"/>
    <col min="2" max="2" width="11.5546875" style="1" customWidth="1"/>
    <col min="3" max="3" width="32.33203125" style="1" bestFit="1" customWidth="1"/>
    <col min="4" max="4" width="50.6640625" style="1" customWidth="1"/>
    <col min="5" max="7" width="15.6640625" style="1" customWidth="1"/>
    <col min="8" max="8" width="25.6640625" style="1" customWidth="1"/>
    <col min="9" max="9" width="12.5546875" style="1" customWidth="1"/>
    <col min="10" max="16384" width="12.5546875" style="1"/>
  </cols>
  <sheetData>
    <row r="1" spans="2:8" ht="13.95" customHeight="1" x14ac:dyDescent="0.25">
      <c r="B1" s="9" t="s">
        <v>0</v>
      </c>
      <c r="C1" s="9"/>
      <c r="D1" s="9"/>
      <c r="E1" s="9"/>
      <c r="F1" s="9"/>
      <c r="G1" s="9"/>
      <c r="H1" s="10"/>
    </row>
    <row r="2" spans="2:8" ht="13.95" customHeight="1" x14ac:dyDescent="0.25">
      <c r="B2" s="9"/>
      <c r="C2" s="9"/>
      <c r="D2" s="9"/>
      <c r="E2" s="9"/>
      <c r="F2" s="9"/>
      <c r="G2" s="9"/>
      <c r="H2" s="10"/>
    </row>
    <row r="3" spans="2:8" ht="13.95" customHeight="1" x14ac:dyDescent="0.25">
      <c r="B3" s="11" t="s">
        <v>44</v>
      </c>
      <c r="E3" s="12" t="s">
        <v>2</v>
      </c>
      <c r="F3" s="13"/>
      <c r="G3" s="13"/>
      <c r="H3" s="10"/>
    </row>
    <row r="4" spans="2:8" ht="13.95" customHeight="1" x14ac:dyDescent="0.25">
      <c r="B4" s="18" t="s">
        <v>45</v>
      </c>
      <c r="C4" s="17"/>
      <c r="D4" s="13"/>
      <c r="E4" s="15"/>
      <c r="F4" s="13"/>
      <c r="H4" s="10"/>
    </row>
    <row r="5" spans="2:8" ht="13.95" customHeight="1" x14ac:dyDescent="0.25">
      <c r="B5" s="11" t="s">
        <v>46</v>
      </c>
      <c r="E5" s="12" t="s">
        <v>5</v>
      </c>
      <c r="F5" s="13"/>
      <c r="G5" s="28" t="s">
        <v>47</v>
      </c>
      <c r="H5" s="10"/>
    </row>
    <row r="6" spans="2:8" ht="13.95" customHeight="1" x14ac:dyDescent="0.25">
      <c r="B6" s="16"/>
      <c r="C6" s="17"/>
      <c r="D6" s="13"/>
      <c r="E6" s="15"/>
      <c r="F6" s="13"/>
      <c r="G6" s="15"/>
      <c r="H6" s="10"/>
    </row>
    <row r="7" spans="2:8" ht="13.95" customHeight="1" x14ac:dyDescent="0.25">
      <c r="B7" s="10"/>
      <c r="C7" s="13"/>
      <c r="D7" s="11"/>
      <c r="E7" s="11"/>
      <c r="F7" s="11"/>
      <c r="G7" s="11"/>
      <c r="H7" s="11"/>
    </row>
    <row r="8" spans="2:8" ht="13.95" customHeight="1" x14ac:dyDescent="0.25">
      <c r="B8" s="40" t="s">
        <v>7</v>
      </c>
      <c r="C8" s="41" t="s">
        <v>8</v>
      </c>
      <c r="D8" s="41" t="s">
        <v>9</v>
      </c>
      <c r="E8" s="41" t="s">
        <v>2</v>
      </c>
      <c r="F8" s="41" t="s">
        <v>5</v>
      </c>
      <c r="G8" s="41" t="s">
        <v>10</v>
      </c>
      <c r="H8" s="42" t="s">
        <v>11</v>
      </c>
    </row>
    <row r="9" spans="2:8" ht="13.95" customHeight="1" x14ac:dyDescent="0.25">
      <c r="B9" s="10"/>
      <c r="C9" s="11"/>
      <c r="D9" s="11"/>
      <c r="E9" s="11"/>
      <c r="F9" s="11"/>
      <c r="G9" s="11"/>
      <c r="H9" s="9"/>
    </row>
    <row r="10" spans="2:8" ht="13.95" customHeight="1" x14ac:dyDescent="0.25">
      <c r="B10" s="10">
        <v>3.1</v>
      </c>
      <c r="C10" s="11" t="s">
        <v>48</v>
      </c>
      <c r="D10" s="43"/>
      <c r="E10" s="13"/>
      <c r="F10" s="13"/>
      <c r="G10" s="13"/>
      <c r="H10" s="44"/>
    </row>
    <row r="11" spans="2:8" ht="13.2" x14ac:dyDescent="0.25">
      <c r="B11" s="45" t="s">
        <v>49</v>
      </c>
      <c r="C11" s="46" t="s">
        <v>50</v>
      </c>
      <c r="D11" s="47" t="s">
        <v>51</v>
      </c>
      <c r="E11" s="46"/>
      <c r="F11" s="46"/>
      <c r="G11" s="46"/>
      <c r="H11" s="48"/>
    </row>
    <row r="12" spans="2:8" ht="13.2" x14ac:dyDescent="0.25">
      <c r="B12" s="45" t="s">
        <v>52</v>
      </c>
      <c r="C12" s="46" t="s">
        <v>53</v>
      </c>
      <c r="D12" s="47" t="s">
        <v>54</v>
      </c>
      <c r="E12" s="46"/>
      <c r="F12" s="46"/>
      <c r="G12" s="46"/>
      <c r="H12" s="48"/>
    </row>
    <row r="13" spans="2:8" ht="26.4" x14ac:dyDescent="0.25">
      <c r="B13" s="45" t="s">
        <v>55</v>
      </c>
      <c r="C13" s="46" t="s">
        <v>56</v>
      </c>
      <c r="D13" s="47" t="s">
        <v>57</v>
      </c>
      <c r="E13" s="46"/>
      <c r="F13" s="46"/>
      <c r="G13" s="46"/>
      <c r="H13" s="48"/>
    </row>
    <row r="14" spans="2:8" ht="13.95" customHeight="1" x14ac:dyDescent="0.25">
      <c r="B14" s="38"/>
      <c r="C14" s="13"/>
      <c r="D14" s="43"/>
      <c r="E14" s="13"/>
      <c r="F14" s="13"/>
      <c r="G14" s="13"/>
      <c r="H14" s="44"/>
    </row>
    <row r="15" spans="2:8" ht="13.95" customHeight="1" x14ac:dyDescent="0.25">
      <c r="B15" s="10">
        <v>3.2</v>
      </c>
      <c r="C15" s="11" t="s">
        <v>58</v>
      </c>
      <c r="D15" s="43"/>
      <c r="E15" s="13"/>
      <c r="F15" s="13"/>
      <c r="G15" s="13"/>
      <c r="H15" s="13"/>
    </row>
    <row r="16" spans="2:8" ht="13.95" customHeight="1" x14ac:dyDescent="0.25">
      <c r="B16" s="45" t="s">
        <v>59</v>
      </c>
      <c r="C16" s="46" t="s">
        <v>60</v>
      </c>
      <c r="D16" s="47" t="s">
        <v>61</v>
      </c>
      <c r="E16" s="46"/>
      <c r="F16" s="46"/>
      <c r="G16" s="46"/>
      <c r="H16" s="48"/>
    </row>
    <row r="17" spans="2:4" ht="13.2" x14ac:dyDescent="0.25">
      <c r="B17" s="45" t="s">
        <v>62</v>
      </c>
      <c r="C17" s="46" t="s">
        <v>63</v>
      </c>
      <c r="D17" s="47" t="s">
        <v>64</v>
      </c>
    </row>
    <row r="18" spans="2:4" ht="26.4" x14ac:dyDescent="0.25">
      <c r="B18" s="45" t="s">
        <v>65</v>
      </c>
      <c r="C18" s="46" t="s">
        <v>66</v>
      </c>
      <c r="D18" s="47" t="s">
        <v>67</v>
      </c>
    </row>
    <row r="19" spans="2:4" ht="13.95" customHeight="1" x14ac:dyDescent="0.25">
      <c r="B19" s="38"/>
      <c r="C19" s="13"/>
      <c r="D19" s="43"/>
    </row>
    <row r="20" spans="2:4" ht="13.95" customHeight="1" x14ac:dyDescent="0.25">
      <c r="B20" s="10">
        <v>3.3</v>
      </c>
      <c r="C20" s="11" t="s">
        <v>68</v>
      </c>
      <c r="D20" s="43"/>
    </row>
    <row r="21" spans="2:4" ht="13.95" customHeight="1" x14ac:dyDescent="0.25">
      <c r="B21" s="45" t="s">
        <v>69</v>
      </c>
      <c r="C21" s="46" t="s">
        <v>70</v>
      </c>
      <c r="D21" s="47" t="s">
        <v>71</v>
      </c>
    </row>
    <row r="22" spans="2:4" ht="26.4" x14ac:dyDescent="0.25">
      <c r="B22" s="45" t="s">
        <v>72</v>
      </c>
      <c r="C22" s="46" t="s">
        <v>73</v>
      </c>
      <c r="D22" s="47" t="s">
        <v>74</v>
      </c>
    </row>
    <row r="23" spans="2:4" ht="13.95" customHeight="1" x14ac:dyDescent="0.25">
      <c r="B23" s="45" t="s">
        <v>75</v>
      </c>
      <c r="C23" s="46" t="s">
        <v>76</v>
      </c>
      <c r="D23" s="47" t="s">
        <v>77</v>
      </c>
    </row>
    <row r="24" spans="2:4" ht="13.95" customHeight="1" x14ac:dyDescent="0.25">
      <c r="B24" s="38"/>
      <c r="C24" s="13"/>
      <c r="D24" s="43"/>
    </row>
    <row r="25" spans="2:4" ht="13.95" customHeight="1" x14ac:dyDescent="0.25">
      <c r="B25" s="10">
        <v>3.4</v>
      </c>
      <c r="C25" s="11" t="s">
        <v>78</v>
      </c>
      <c r="D25" s="43"/>
    </row>
    <row r="26" spans="2:4" ht="26.4" x14ac:dyDescent="0.25">
      <c r="B26" s="45" t="s">
        <v>79</v>
      </c>
      <c r="C26" s="46" t="s">
        <v>80</v>
      </c>
      <c r="D26" s="47" t="s">
        <v>81</v>
      </c>
    </row>
    <row r="27" spans="2:4" ht="13.95" customHeight="1" x14ac:dyDescent="0.25">
      <c r="B27" s="45" t="s">
        <v>82</v>
      </c>
      <c r="C27" s="46" t="s">
        <v>83</v>
      </c>
      <c r="D27" s="47" t="s">
        <v>84</v>
      </c>
    </row>
  </sheetData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64BE-0E84-4C40-9342-275C22AA4A1D}">
  <sheetPr>
    <outlinePr summaryBelow="0" summaryRight="0"/>
    <pageSetUpPr fitToPage="1"/>
  </sheetPr>
  <dimension ref="B1:CG45"/>
  <sheetViews>
    <sheetView showGridLines="0" tabSelected="1" zoomScale="83" zoomScaleNormal="83" workbookViewId="0">
      <pane xSplit="8" ySplit="10" topLeftCell="I17" activePane="bottomRight" state="frozen"/>
      <selection pane="topRight" activeCell="J1" sqref="J1"/>
      <selection pane="bottomLeft" activeCell="A11" sqref="A11"/>
      <selection pane="bottomRight" activeCell="O31" sqref="O31"/>
    </sheetView>
  </sheetViews>
  <sheetFormatPr defaultColWidth="12.5546875" defaultRowHeight="13.95" customHeight="1" outlineLevelRow="2" x14ac:dyDescent="0.25"/>
  <cols>
    <col min="1" max="1" width="5.6640625" style="1" customWidth="1"/>
    <col min="2" max="2" width="5.44140625" style="1" customWidth="1"/>
    <col min="3" max="3" width="26.109375" style="1" customWidth="1"/>
    <col min="4" max="7" width="12.6640625" style="1" customWidth="1"/>
    <col min="8" max="8" width="2.33203125" style="1" customWidth="1"/>
    <col min="9" max="85" width="4.33203125" style="1" customWidth="1"/>
    <col min="86" max="16384" width="12.5546875" style="1"/>
  </cols>
  <sheetData>
    <row r="1" spans="2:85" ht="13.95" customHeight="1" x14ac:dyDescent="0.25">
      <c r="B1" s="21" t="s">
        <v>85</v>
      </c>
    </row>
    <row r="2" spans="2:85" ht="13.95" customHeight="1" x14ac:dyDescent="0.25">
      <c r="B2" s="9"/>
      <c r="D2" s="9"/>
      <c r="E2" s="9"/>
      <c r="F2" s="9"/>
      <c r="G2" s="2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2:85" ht="13.95" customHeight="1" x14ac:dyDescent="0.25">
      <c r="B3" s="11" t="s">
        <v>1</v>
      </c>
      <c r="D3" s="12" t="s">
        <v>2</v>
      </c>
      <c r="E3" s="13"/>
      <c r="F3" s="11" t="s">
        <v>86</v>
      </c>
      <c r="G3" s="2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2:85" ht="13.95" customHeight="1" x14ac:dyDescent="0.25">
      <c r="B4" s="18" t="s">
        <v>201</v>
      </c>
      <c r="C4" s="29"/>
      <c r="D4" s="27">
        <v>46042</v>
      </c>
      <c r="E4" s="13"/>
      <c r="F4" s="39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2:85" ht="13.95" customHeight="1" x14ac:dyDescent="0.25">
      <c r="B5" s="11" t="s">
        <v>4</v>
      </c>
      <c r="D5" s="12" t="s">
        <v>5</v>
      </c>
      <c r="E5" s="13"/>
      <c r="F5" s="24" t="s">
        <v>6</v>
      </c>
      <c r="G5" s="2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2:85" ht="13.95" customHeight="1" x14ac:dyDescent="0.25">
      <c r="B6" s="77" t="s">
        <v>202</v>
      </c>
      <c r="C6" s="29"/>
      <c r="D6" s="27">
        <v>45757</v>
      </c>
      <c r="E6" s="13"/>
      <c r="F6" s="78" t="s">
        <v>196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2:85" ht="13.95" customHeight="1" x14ac:dyDescent="0.25">
      <c r="B7" s="25"/>
      <c r="C7" s="25"/>
      <c r="D7" s="1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2:85" ht="13.95" customHeight="1" x14ac:dyDescent="0.25">
      <c r="B8" s="26"/>
      <c r="C8" s="26"/>
      <c r="D8" s="14"/>
      <c r="H8" s="2"/>
      <c r="I8" s="79">
        <f>I9</f>
        <v>46041</v>
      </c>
      <c r="J8" s="80"/>
      <c r="K8" s="80"/>
      <c r="L8" s="80"/>
      <c r="M8" s="80"/>
      <c r="N8" s="80"/>
      <c r="O8" s="81"/>
      <c r="P8" s="79">
        <f>P9</f>
        <v>46048</v>
      </c>
      <c r="Q8" s="80"/>
      <c r="R8" s="80"/>
      <c r="S8" s="80"/>
      <c r="T8" s="80"/>
      <c r="U8" s="80"/>
      <c r="V8" s="81"/>
      <c r="W8" s="79">
        <f>W9</f>
        <v>46055</v>
      </c>
      <c r="X8" s="80"/>
      <c r="Y8" s="80"/>
      <c r="Z8" s="80"/>
      <c r="AA8" s="80"/>
      <c r="AB8" s="80"/>
      <c r="AC8" s="81"/>
      <c r="AD8" s="79">
        <f>AD9</f>
        <v>46062</v>
      </c>
      <c r="AE8" s="80"/>
      <c r="AF8" s="80"/>
      <c r="AG8" s="80"/>
      <c r="AH8" s="80"/>
      <c r="AI8" s="80"/>
      <c r="AJ8" s="81"/>
      <c r="AK8" s="79">
        <f>AK9</f>
        <v>46069</v>
      </c>
      <c r="AL8" s="80"/>
      <c r="AM8" s="80"/>
      <c r="AN8" s="80"/>
      <c r="AO8" s="80"/>
      <c r="AP8" s="80"/>
      <c r="AQ8" s="81"/>
      <c r="AR8" s="79">
        <f>AR9</f>
        <v>46076</v>
      </c>
      <c r="AS8" s="80"/>
      <c r="AT8" s="80"/>
      <c r="AU8" s="80"/>
      <c r="AV8" s="80"/>
      <c r="AW8" s="80"/>
      <c r="AX8" s="81"/>
      <c r="AY8" s="79">
        <f>AY9</f>
        <v>46083</v>
      </c>
      <c r="AZ8" s="80"/>
      <c r="BA8" s="80"/>
      <c r="BB8" s="80"/>
      <c r="BC8" s="80"/>
      <c r="BD8" s="80"/>
      <c r="BE8" s="81"/>
      <c r="BF8" s="79">
        <f>BF9</f>
        <v>46090</v>
      </c>
      <c r="BG8" s="80"/>
      <c r="BH8" s="80"/>
      <c r="BI8" s="80"/>
      <c r="BJ8" s="80"/>
      <c r="BK8" s="80"/>
      <c r="BL8" s="81"/>
      <c r="BM8" s="79">
        <f>BM9</f>
        <v>46097</v>
      </c>
      <c r="BN8" s="80"/>
      <c r="BO8" s="80"/>
      <c r="BP8" s="80"/>
      <c r="BQ8" s="80"/>
      <c r="BR8" s="80"/>
      <c r="BS8" s="81"/>
      <c r="BT8" s="79">
        <f>BT9</f>
        <v>46104</v>
      </c>
      <c r="BU8" s="80"/>
      <c r="BV8" s="80"/>
      <c r="BW8" s="80"/>
      <c r="BX8" s="80"/>
      <c r="BY8" s="80"/>
      <c r="BZ8" s="81"/>
      <c r="CA8" s="79">
        <f>CA9</f>
        <v>46111</v>
      </c>
      <c r="CB8" s="80"/>
      <c r="CC8" s="80"/>
      <c r="CD8" s="80"/>
      <c r="CE8" s="80"/>
      <c r="CF8" s="80"/>
      <c r="CG8" s="81"/>
    </row>
    <row r="9" spans="2:85" ht="13.95" customHeight="1" x14ac:dyDescent="0.25">
      <c r="B9" s="25"/>
      <c r="C9" s="25"/>
      <c r="D9" s="14"/>
      <c r="E9" s="3"/>
      <c r="F9" s="3"/>
      <c r="G9" s="3"/>
      <c r="H9" s="2"/>
      <c r="I9" s="4">
        <f>$D$4-WEEKDAY(D4,3) + (F4-1)*7</f>
        <v>46041</v>
      </c>
      <c r="J9" s="5">
        <f t="shared" ref="J9:P9" si="0">I9+1</f>
        <v>46042</v>
      </c>
      <c r="K9" s="5">
        <f t="shared" si="0"/>
        <v>46043</v>
      </c>
      <c r="L9" s="5">
        <f t="shared" si="0"/>
        <v>46044</v>
      </c>
      <c r="M9" s="5">
        <f t="shared" si="0"/>
        <v>46045</v>
      </c>
      <c r="N9" s="5">
        <f t="shared" si="0"/>
        <v>46046</v>
      </c>
      <c r="O9" s="6">
        <f t="shared" si="0"/>
        <v>46047</v>
      </c>
      <c r="P9" s="4">
        <f t="shared" si="0"/>
        <v>46048</v>
      </c>
      <c r="Q9" s="4">
        <f>P9+1</f>
        <v>46049</v>
      </c>
      <c r="R9" s="4">
        <f t="shared" ref="R9:S9" si="1">Q9+1</f>
        <v>46050</v>
      </c>
      <c r="S9" s="4">
        <f t="shared" si="1"/>
        <v>46051</v>
      </c>
      <c r="T9" s="4">
        <f>S9+1</f>
        <v>46052</v>
      </c>
      <c r="U9" s="4">
        <f>T9+1</f>
        <v>46053</v>
      </c>
      <c r="V9" s="4">
        <f t="shared" ref="V9:AJ9" si="2">U9+1</f>
        <v>46054</v>
      </c>
      <c r="W9" s="4">
        <f t="shared" si="2"/>
        <v>46055</v>
      </c>
      <c r="X9" s="4">
        <f t="shared" si="2"/>
        <v>46056</v>
      </c>
      <c r="Y9" s="4">
        <f t="shared" si="2"/>
        <v>46057</v>
      </c>
      <c r="Z9" s="4">
        <f t="shared" si="2"/>
        <v>46058</v>
      </c>
      <c r="AA9" s="4">
        <f t="shared" si="2"/>
        <v>46059</v>
      </c>
      <c r="AB9" s="4">
        <f t="shared" si="2"/>
        <v>46060</v>
      </c>
      <c r="AC9" s="4">
        <f t="shared" si="2"/>
        <v>46061</v>
      </c>
      <c r="AD9" s="4">
        <f t="shared" si="2"/>
        <v>46062</v>
      </c>
      <c r="AE9" s="4">
        <f t="shared" si="2"/>
        <v>46063</v>
      </c>
      <c r="AF9" s="4">
        <f t="shared" si="2"/>
        <v>46064</v>
      </c>
      <c r="AG9" s="4">
        <f t="shared" si="2"/>
        <v>46065</v>
      </c>
      <c r="AH9" s="4">
        <f t="shared" si="2"/>
        <v>46066</v>
      </c>
      <c r="AI9" s="4">
        <f t="shared" si="2"/>
        <v>46067</v>
      </c>
      <c r="AJ9" s="4">
        <f t="shared" si="2"/>
        <v>46068</v>
      </c>
      <c r="AK9" s="4">
        <f t="shared" ref="AK9" si="3">AJ9+1</f>
        <v>46069</v>
      </c>
      <c r="AL9" s="4">
        <f t="shared" ref="AL9" si="4">AK9+1</f>
        <v>46070</v>
      </c>
      <c r="AM9" s="4">
        <f t="shared" ref="AM9" si="5">AL9+1</f>
        <v>46071</v>
      </c>
      <c r="AN9" s="4">
        <f t="shared" ref="AN9" si="6">AM9+1</f>
        <v>46072</v>
      </c>
      <c r="AO9" s="4">
        <f t="shared" ref="AO9" si="7">AN9+1</f>
        <v>46073</v>
      </c>
      <c r="AP9" s="4">
        <f t="shared" ref="AP9" si="8">AO9+1</f>
        <v>46074</v>
      </c>
      <c r="AQ9" s="4">
        <f t="shared" ref="AQ9" si="9">AP9+1</f>
        <v>46075</v>
      </c>
      <c r="AR9" s="4">
        <f t="shared" ref="AR9" si="10">AQ9+1</f>
        <v>46076</v>
      </c>
      <c r="AS9" s="4">
        <f t="shared" ref="AS9" si="11">AR9+1</f>
        <v>46077</v>
      </c>
      <c r="AT9" s="4">
        <f t="shared" ref="AT9" si="12">AS9+1</f>
        <v>46078</v>
      </c>
      <c r="AU9" s="4">
        <f t="shared" ref="AU9" si="13">AT9+1</f>
        <v>46079</v>
      </c>
      <c r="AV9" s="4">
        <f t="shared" ref="AV9" si="14">AU9+1</f>
        <v>46080</v>
      </c>
      <c r="AW9" s="4">
        <f t="shared" ref="AW9" si="15">AV9+1</f>
        <v>46081</v>
      </c>
      <c r="AX9" s="4">
        <f t="shared" ref="AX9" si="16">AW9+1</f>
        <v>46082</v>
      </c>
      <c r="AY9" s="4">
        <f>AX9+1</f>
        <v>46083</v>
      </c>
      <c r="AZ9" s="4">
        <f t="shared" ref="AZ9" si="17">AY9+1</f>
        <v>46084</v>
      </c>
      <c r="BA9" s="4">
        <f t="shared" ref="BA9" si="18">AZ9+1</f>
        <v>46085</v>
      </c>
      <c r="BB9" s="4">
        <f t="shared" ref="BB9" si="19">BA9+1</f>
        <v>46086</v>
      </c>
      <c r="BC9" s="4">
        <f t="shared" ref="BC9" si="20">BB9+1</f>
        <v>46087</v>
      </c>
      <c r="BD9" s="4">
        <f t="shared" ref="BD9" si="21">BC9+1</f>
        <v>46088</v>
      </c>
      <c r="BE9" s="4">
        <f t="shared" ref="BE9" si="22">BD9+1</f>
        <v>46089</v>
      </c>
      <c r="BF9" s="4">
        <f t="shared" ref="BF9" si="23">BE9+1</f>
        <v>46090</v>
      </c>
      <c r="BG9" s="4">
        <f t="shared" ref="BG9" si="24">BF9+1</f>
        <v>46091</v>
      </c>
      <c r="BH9" s="4">
        <f t="shared" ref="BH9" si="25">BG9+1</f>
        <v>46092</v>
      </c>
      <c r="BI9" s="4">
        <f t="shared" ref="BI9" si="26">BH9+1</f>
        <v>46093</v>
      </c>
      <c r="BJ9" s="4">
        <f t="shared" ref="BJ9" si="27">BI9+1</f>
        <v>46094</v>
      </c>
      <c r="BK9" s="4">
        <f t="shared" ref="BK9" si="28">BJ9+1</f>
        <v>46095</v>
      </c>
      <c r="BL9" s="4">
        <f t="shared" ref="BL9" si="29">BK9+1</f>
        <v>46096</v>
      </c>
      <c r="BM9" s="4">
        <f t="shared" ref="BM9" si="30">BL9+1</f>
        <v>46097</v>
      </c>
      <c r="BN9" s="4">
        <f t="shared" ref="BN9" si="31">BM9+1</f>
        <v>46098</v>
      </c>
      <c r="BO9" s="4">
        <f t="shared" ref="BO9" si="32">BN9+1</f>
        <v>46099</v>
      </c>
      <c r="BP9" s="4">
        <f t="shared" ref="BP9" si="33">BO9+1</f>
        <v>46100</v>
      </c>
      <c r="BQ9" s="4">
        <f t="shared" ref="BQ9" si="34">BP9+1</f>
        <v>46101</v>
      </c>
      <c r="BR9" s="4">
        <f t="shared" ref="BR9" si="35">BQ9+1</f>
        <v>46102</v>
      </c>
      <c r="BS9" s="4">
        <f t="shared" ref="BS9" si="36">BR9+1</f>
        <v>46103</v>
      </c>
      <c r="BT9" s="4">
        <f t="shared" ref="BT9" si="37">BS9+1</f>
        <v>46104</v>
      </c>
      <c r="BU9" s="4">
        <f t="shared" ref="BU9" si="38">BT9+1</f>
        <v>46105</v>
      </c>
      <c r="BV9" s="4">
        <f t="shared" ref="BV9" si="39">BU9+1</f>
        <v>46106</v>
      </c>
      <c r="BW9" s="4">
        <f t="shared" ref="BW9" si="40">BV9+1</f>
        <v>46107</v>
      </c>
      <c r="BX9" s="4">
        <f t="shared" ref="BX9" si="41">BW9+1</f>
        <v>46108</v>
      </c>
      <c r="BY9" s="4">
        <f t="shared" ref="BY9" si="42">BX9+1</f>
        <v>46109</v>
      </c>
      <c r="BZ9" s="4">
        <f t="shared" ref="BZ9" si="43">BY9+1</f>
        <v>46110</v>
      </c>
      <c r="CA9" s="4">
        <f t="shared" ref="CA9" si="44">BZ9+1</f>
        <v>46111</v>
      </c>
      <c r="CB9" s="4">
        <f t="shared" ref="CB9" si="45">CA9+1</f>
        <v>46112</v>
      </c>
      <c r="CC9" s="4">
        <f t="shared" ref="CC9" si="46">CB9+1</f>
        <v>46113</v>
      </c>
      <c r="CD9" s="4">
        <f t="shared" ref="CD9" si="47">CC9+1</f>
        <v>46114</v>
      </c>
      <c r="CE9" s="4">
        <f t="shared" ref="CE9" si="48">CD9+1</f>
        <v>46115</v>
      </c>
      <c r="CF9" s="4">
        <f t="shared" ref="CF9" si="49">CE9+1</f>
        <v>46116</v>
      </c>
      <c r="CG9" s="4">
        <f t="shared" ref="CG9" si="50">CF9+1</f>
        <v>46117</v>
      </c>
    </row>
    <row r="10" spans="2:85" ht="13.95" customHeight="1" x14ac:dyDescent="0.25">
      <c r="B10" s="36"/>
      <c r="C10" s="36" t="s">
        <v>87</v>
      </c>
      <c r="D10" s="35"/>
      <c r="E10" s="35" t="s">
        <v>2</v>
      </c>
      <c r="F10" s="35" t="s">
        <v>88</v>
      </c>
      <c r="G10" s="35" t="s">
        <v>5</v>
      </c>
      <c r="H10" s="35"/>
      <c r="I10" s="35" t="str">
        <f t="shared" ref="I10:AJ10" si="51">LEFT(TEXT(I9,"ddd"))</f>
        <v>M</v>
      </c>
      <c r="J10" s="35" t="str">
        <f t="shared" si="51"/>
        <v>T</v>
      </c>
      <c r="K10" s="35" t="str">
        <f t="shared" si="51"/>
        <v>W</v>
      </c>
      <c r="L10" s="35" t="str">
        <f t="shared" si="51"/>
        <v>T</v>
      </c>
      <c r="M10" s="35" t="str">
        <f t="shared" si="51"/>
        <v>F</v>
      </c>
      <c r="N10" s="35" t="str">
        <f t="shared" si="51"/>
        <v>S</v>
      </c>
      <c r="O10" s="35" t="str">
        <f t="shared" si="51"/>
        <v>S</v>
      </c>
      <c r="P10" s="35" t="str">
        <f t="shared" si="51"/>
        <v>M</v>
      </c>
      <c r="Q10" s="35" t="str">
        <f t="shared" si="51"/>
        <v>T</v>
      </c>
      <c r="R10" s="35" t="str">
        <f t="shared" si="51"/>
        <v>W</v>
      </c>
      <c r="S10" s="35" t="str">
        <f>LEFT(TEXT(S9,"ddd"))</f>
        <v>T</v>
      </c>
      <c r="T10" s="35" t="str">
        <f>LEFT(TEXT(T9,"ddd"))</f>
        <v>F</v>
      </c>
      <c r="U10" s="35" t="str">
        <f t="shared" si="51"/>
        <v>S</v>
      </c>
      <c r="V10" s="35" t="str">
        <f t="shared" si="51"/>
        <v>S</v>
      </c>
      <c r="W10" s="35" t="str">
        <f t="shared" si="51"/>
        <v>M</v>
      </c>
      <c r="X10" s="35" t="str">
        <f>LEFT(TEXT(X9,"ddd"))</f>
        <v>T</v>
      </c>
      <c r="Y10" s="35" t="str">
        <f t="shared" si="51"/>
        <v>W</v>
      </c>
      <c r="Z10" s="35" t="str">
        <f t="shared" si="51"/>
        <v>T</v>
      </c>
      <c r="AA10" s="35" t="str">
        <f t="shared" si="51"/>
        <v>F</v>
      </c>
      <c r="AB10" s="35" t="str">
        <f t="shared" si="51"/>
        <v>S</v>
      </c>
      <c r="AC10" s="35" t="str">
        <f t="shared" si="51"/>
        <v>S</v>
      </c>
      <c r="AD10" s="35" t="str">
        <f t="shared" si="51"/>
        <v>M</v>
      </c>
      <c r="AE10" s="35" t="str">
        <f t="shared" si="51"/>
        <v>T</v>
      </c>
      <c r="AF10" s="35" t="str">
        <f t="shared" si="51"/>
        <v>W</v>
      </c>
      <c r="AG10" s="35" t="str">
        <f t="shared" si="51"/>
        <v>T</v>
      </c>
      <c r="AH10" s="35" t="str">
        <f t="shared" si="51"/>
        <v>F</v>
      </c>
      <c r="AI10" s="35" t="str">
        <f t="shared" si="51"/>
        <v>S</v>
      </c>
      <c r="AJ10" s="35" t="str">
        <f t="shared" si="51"/>
        <v>S</v>
      </c>
      <c r="AK10" s="35" t="str">
        <f t="shared" ref="AK10:AQ10" si="52">LEFT(TEXT(AK9,"ddd"))</f>
        <v>M</v>
      </c>
      <c r="AL10" s="35" t="str">
        <f t="shared" si="52"/>
        <v>T</v>
      </c>
      <c r="AM10" s="35" t="str">
        <f t="shared" si="52"/>
        <v>W</v>
      </c>
      <c r="AN10" s="35" t="str">
        <f t="shared" si="52"/>
        <v>T</v>
      </c>
      <c r="AO10" s="35" t="str">
        <f t="shared" si="52"/>
        <v>F</v>
      </c>
      <c r="AP10" s="35" t="str">
        <f t="shared" si="52"/>
        <v>S</v>
      </c>
      <c r="AQ10" s="35" t="str">
        <f t="shared" si="52"/>
        <v>S</v>
      </c>
      <c r="AR10" s="35" t="str">
        <f t="shared" ref="AR10:AX10" si="53">LEFT(TEXT(AR9,"ddd"))</f>
        <v>M</v>
      </c>
      <c r="AS10" s="35" t="str">
        <f t="shared" si="53"/>
        <v>T</v>
      </c>
      <c r="AT10" s="35" t="str">
        <f t="shared" si="53"/>
        <v>W</v>
      </c>
      <c r="AU10" s="35" t="str">
        <f t="shared" si="53"/>
        <v>T</v>
      </c>
      <c r="AV10" s="35" t="str">
        <f t="shared" si="53"/>
        <v>F</v>
      </c>
      <c r="AW10" s="35" t="str">
        <f t="shared" si="53"/>
        <v>S</v>
      </c>
      <c r="AX10" s="35" t="str">
        <f t="shared" si="53"/>
        <v>S</v>
      </c>
      <c r="AY10" s="35" t="str">
        <f t="shared" ref="AY10:CG10" si="54">LEFT(TEXT(AY9,"ddd"))</f>
        <v>M</v>
      </c>
      <c r="AZ10" s="35" t="str">
        <f t="shared" si="54"/>
        <v>T</v>
      </c>
      <c r="BA10" s="35" t="str">
        <f t="shared" si="54"/>
        <v>W</v>
      </c>
      <c r="BB10" s="35" t="str">
        <f t="shared" si="54"/>
        <v>T</v>
      </c>
      <c r="BC10" s="35" t="str">
        <f t="shared" si="54"/>
        <v>F</v>
      </c>
      <c r="BD10" s="35" t="str">
        <f t="shared" si="54"/>
        <v>S</v>
      </c>
      <c r="BE10" s="35" t="str">
        <f t="shared" si="54"/>
        <v>S</v>
      </c>
      <c r="BF10" s="35" t="str">
        <f t="shared" si="54"/>
        <v>M</v>
      </c>
      <c r="BG10" s="35" t="str">
        <f t="shared" si="54"/>
        <v>T</v>
      </c>
      <c r="BH10" s="35" t="str">
        <f t="shared" si="54"/>
        <v>W</v>
      </c>
      <c r="BI10" s="35" t="str">
        <f t="shared" si="54"/>
        <v>T</v>
      </c>
      <c r="BJ10" s="35" t="str">
        <f t="shared" si="54"/>
        <v>F</v>
      </c>
      <c r="BK10" s="35" t="str">
        <f t="shared" si="54"/>
        <v>S</v>
      </c>
      <c r="BL10" s="35" t="str">
        <f t="shared" si="54"/>
        <v>S</v>
      </c>
      <c r="BM10" s="35" t="str">
        <f t="shared" si="54"/>
        <v>M</v>
      </c>
      <c r="BN10" s="35" t="str">
        <f t="shared" si="54"/>
        <v>T</v>
      </c>
      <c r="BO10" s="35" t="str">
        <f t="shared" si="54"/>
        <v>W</v>
      </c>
      <c r="BP10" s="35" t="str">
        <f t="shared" si="54"/>
        <v>T</v>
      </c>
      <c r="BQ10" s="35" t="str">
        <f t="shared" si="54"/>
        <v>F</v>
      </c>
      <c r="BR10" s="35" t="str">
        <f t="shared" si="54"/>
        <v>S</v>
      </c>
      <c r="BS10" s="35" t="str">
        <f t="shared" si="54"/>
        <v>S</v>
      </c>
      <c r="BT10" s="35" t="str">
        <f t="shared" si="54"/>
        <v>M</v>
      </c>
      <c r="BU10" s="35" t="str">
        <f t="shared" si="54"/>
        <v>T</v>
      </c>
      <c r="BV10" s="35" t="str">
        <f t="shared" si="54"/>
        <v>W</v>
      </c>
      <c r="BW10" s="35" t="str">
        <f t="shared" si="54"/>
        <v>T</v>
      </c>
      <c r="BX10" s="35" t="str">
        <f t="shared" si="54"/>
        <v>F</v>
      </c>
      <c r="BY10" s="35" t="str">
        <f t="shared" si="54"/>
        <v>S</v>
      </c>
      <c r="BZ10" s="35" t="str">
        <f t="shared" si="54"/>
        <v>S</v>
      </c>
      <c r="CA10" s="35" t="str">
        <f t="shared" si="54"/>
        <v>M</v>
      </c>
      <c r="CB10" s="35" t="str">
        <f t="shared" si="54"/>
        <v>T</v>
      </c>
      <c r="CC10" s="35" t="str">
        <f t="shared" si="54"/>
        <v>W</v>
      </c>
      <c r="CD10" s="35" t="str">
        <f t="shared" si="54"/>
        <v>T</v>
      </c>
      <c r="CE10" s="35" t="str">
        <f t="shared" si="54"/>
        <v>F</v>
      </c>
      <c r="CF10" s="35" t="str">
        <f t="shared" si="54"/>
        <v>S</v>
      </c>
      <c r="CG10" s="35" t="str">
        <f t="shared" si="54"/>
        <v>S</v>
      </c>
    </row>
    <row r="11" spans="2:85" ht="13.95" customHeight="1" x14ac:dyDescent="0.25">
      <c r="B11" s="30"/>
      <c r="C11" s="30"/>
      <c r="D11" s="32"/>
      <c r="E11" s="32"/>
      <c r="F11" s="32"/>
      <c r="G11" s="32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</row>
    <row r="12" spans="2:85" ht="13.95" customHeight="1" x14ac:dyDescent="0.25">
      <c r="B12" s="31">
        <v>1</v>
      </c>
      <c r="C12" s="31" t="s">
        <v>198</v>
      </c>
      <c r="D12" s="25" t="s">
        <v>89</v>
      </c>
      <c r="E12" s="37">
        <f>MIN(E13:E15)</f>
        <v>46042</v>
      </c>
      <c r="F12" s="25"/>
      <c r="G12" s="37">
        <f>MAX(G13:G15)</f>
        <v>46049</v>
      </c>
      <c r="H12" s="25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7"/>
    </row>
    <row r="13" spans="2:85" ht="13.95" customHeight="1" outlineLevel="1" x14ac:dyDescent="0.25">
      <c r="B13" s="3">
        <v>1.1000000000000001</v>
      </c>
      <c r="C13" s="3" t="s">
        <v>13</v>
      </c>
      <c r="D13" s="33" t="str">
        <f ca="1">IFERROR(__xludf.DUMMYFUNCTION("IFERROR(SPARKLINE(D10,{""charttype"",""bar""; ""color1"", ""green"";""max"", 1}))"),"")</f>
        <v/>
      </c>
      <c r="E13" s="33">
        <v>46042</v>
      </c>
      <c r="F13" s="23">
        <v>5</v>
      </c>
      <c r="G13" s="33">
        <f t="shared" ref="G13:G14" si="55">(E13+F13) - 1</f>
        <v>46046</v>
      </c>
      <c r="H13" s="2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2"/>
    </row>
    <row r="14" spans="2:85" ht="13.95" customHeight="1" outlineLevel="1" x14ac:dyDescent="0.25">
      <c r="B14" s="3">
        <v>1.2</v>
      </c>
      <c r="C14" s="3" t="s">
        <v>15</v>
      </c>
      <c r="D14" s="33" t="str">
        <f ca="1">IFERROR(__xludf.DUMMYFUNCTION("IFERROR(SPARKLINE(D11,{""charttype"",""bar""; ""color1"", ""green"";""max"", 1}))"),"")</f>
        <v/>
      </c>
      <c r="E14" s="33">
        <v>46047</v>
      </c>
      <c r="F14" s="23">
        <v>1</v>
      </c>
      <c r="G14" s="33">
        <f t="shared" si="55"/>
        <v>46047</v>
      </c>
      <c r="H14" s="23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2"/>
    </row>
    <row r="15" spans="2:85" ht="13.95" customHeight="1" outlineLevel="1" x14ac:dyDescent="0.25">
      <c r="B15" s="3">
        <v>1.3</v>
      </c>
      <c r="C15" s="3" t="s">
        <v>199</v>
      </c>
      <c r="D15" s="33" t="s">
        <v>89</v>
      </c>
      <c r="E15" s="33">
        <v>46047</v>
      </c>
      <c r="F15" s="23">
        <v>1</v>
      </c>
      <c r="G15" s="33">
        <f>(E15+F15) + 1</f>
        <v>46049</v>
      </c>
      <c r="H15" s="23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I15" s="8"/>
      <c r="AJ15" s="8"/>
      <c r="AK15" s="2"/>
    </row>
    <row r="17" spans="2:7" ht="13.95" customHeight="1" x14ac:dyDescent="0.25">
      <c r="B17" s="31">
        <v>2</v>
      </c>
      <c r="C17" s="31" t="s">
        <v>200</v>
      </c>
      <c r="D17" s="25" t="s">
        <v>89</v>
      </c>
      <c r="E17" s="37">
        <f>MIN(E18:E21)</f>
        <v>46049</v>
      </c>
      <c r="F17" s="25"/>
      <c r="G17" s="37">
        <f>MAX(G18:G21)</f>
        <v>46082</v>
      </c>
    </row>
    <row r="18" spans="2:7" ht="13.95" customHeight="1" outlineLevel="1" x14ac:dyDescent="0.25">
      <c r="B18" s="3">
        <v>2.1</v>
      </c>
      <c r="C18" s="3" t="s">
        <v>20</v>
      </c>
      <c r="D18" s="33" t="s">
        <v>89</v>
      </c>
      <c r="E18" s="33">
        <v>46049</v>
      </c>
      <c r="F18" s="23">
        <v>7</v>
      </c>
      <c r="G18" s="33">
        <f t="shared" ref="G18:G19" si="56">(E18+F18) - 1</f>
        <v>46055</v>
      </c>
    </row>
    <row r="19" spans="2:7" ht="13.95" customHeight="1" outlineLevel="1" x14ac:dyDescent="0.25">
      <c r="B19" s="3">
        <v>2.2000000000000002</v>
      </c>
      <c r="C19" s="3" t="s">
        <v>22</v>
      </c>
      <c r="D19" s="33" t="str">
        <f ca="1">IFERROR(__xludf.DUMMYFUNCTION("IFERROR(SPARKLINE(D21,{""charttype"",""bar""; ""color1"", ""green"";""max"", 1}))"),"")</f>
        <v/>
      </c>
      <c r="E19" s="33">
        <v>46056</v>
      </c>
      <c r="F19" s="23">
        <v>14</v>
      </c>
      <c r="G19" s="33">
        <f t="shared" si="56"/>
        <v>46069</v>
      </c>
    </row>
    <row r="20" spans="2:7" ht="13.95" customHeight="1" outlineLevel="1" x14ac:dyDescent="0.25">
      <c r="B20" s="3">
        <v>2.2999999999999998</v>
      </c>
      <c r="C20" s="3" t="s">
        <v>24</v>
      </c>
      <c r="D20" s="33" t="s">
        <v>89</v>
      </c>
      <c r="E20" s="33">
        <v>46069</v>
      </c>
      <c r="F20" s="23">
        <v>10</v>
      </c>
      <c r="G20" s="33">
        <f>(E20+F20) + 1</f>
        <v>46080</v>
      </c>
    </row>
    <row r="21" spans="2:7" ht="13.95" customHeight="1" outlineLevel="1" x14ac:dyDescent="0.25">
      <c r="B21" s="3">
        <v>2.4</v>
      </c>
      <c r="C21" s="3" t="s">
        <v>26</v>
      </c>
      <c r="D21" s="33" t="s">
        <v>89</v>
      </c>
      <c r="E21" s="33">
        <v>46081</v>
      </c>
      <c r="F21" s="23">
        <v>2</v>
      </c>
      <c r="G21" s="33">
        <f t="shared" ref="G21" si="57">(E21+F21) - 1</f>
        <v>46082</v>
      </c>
    </row>
    <row r="22" spans="2:7" ht="13.95" customHeight="1" x14ac:dyDescent="0.25">
      <c r="B22" s="3"/>
      <c r="C22" s="3"/>
      <c r="D22" s="33"/>
      <c r="E22" s="33"/>
      <c r="F22" s="23"/>
      <c r="G22" s="33"/>
    </row>
    <row r="23" spans="2:7" ht="13.95" customHeight="1" x14ac:dyDescent="0.25">
      <c r="B23" s="22">
        <v>3</v>
      </c>
      <c r="C23" s="22" t="s">
        <v>45</v>
      </c>
      <c r="D23" s="34" t="s">
        <v>89</v>
      </c>
      <c r="E23" s="37">
        <f>MIN(E25:E39)</f>
        <v>46088</v>
      </c>
      <c r="F23" s="8"/>
      <c r="G23" s="37">
        <f>MAX(G25:G39)</f>
        <v>46115</v>
      </c>
    </row>
    <row r="24" spans="2:7" ht="13.95" customHeight="1" outlineLevel="1" x14ac:dyDescent="0.25">
      <c r="B24" s="2">
        <v>3.1</v>
      </c>
      <c r="C24" s="13" t="s">
        <v>33</v>
      </c>
      <c r="D24" s="2"/>
      <c r="E24" s="34">
        <v>46082</v>
      </c>
      <c r="F24" s="8">
        <v>7</v>
      </c>
      <c r="G24" s="34">
        <v>46088</v>
      </c>
    </row>
    <row r="25" spans="2:7" ht="13.95" customHeight="1" outlineLevel="2" x14ac:dyDescent="0.25">
      <c r="B25" s="2">
        <v>3.2</v>
      </c>
      <c r="C25" s="46" t="s">
        <v>203</v>
      </c>
      <c r="D25" s="2"/>
      <c r="E25" s="34">
        <v>46088</v>
      </c>
      <c r="F25" s="8">
        <v>4</v>
      </c>
      <c r="G25" s="33">
        <f t="shared" ref="G25:G26" si="58">(E25+F25) - 1</f>
        <v>46091</v>
      </c>
    </row>
    <row r="26" spans="2:7" ht="13.95" customHeight="1" outlineLevel="2" x14ac:dyDescent="0.25">
      <c r="B26" s="2">
        <v>3.3</v>
      </c>
      <c r="C26" s="46" t="s">
        <v>83</v>
      </c>
      <c r="D26" s="2"/>
      <c r="E26" s="34">
        <v>46091</v>
      </c>
      <c r="F26" s="8">
        <v>5</v>
      </c>
      <c r="G26" s="33">
        <f t="shared" si="58"/>
        <v>46095</v>
      </c>
    </row>
    <row r="27" spans="2:7" ht="13.95" customHeight="1" outlineLevel="1" x14ac:dyDescent="0.25">
      <c r="B27" s="2">
        <v>3.4</v>
      </c>
      <c r="C27" s="13" t="s">
        <v>204</v>
      </c>
      <c r="D27" s="2"/>
      <c r="E27" s="34">
        <v>46095</v>
      </c>
      <c r="F27" s="8">
        <v>2</v>
      </c>
      <c r="G27" s="34">
        <v>46097</v>
      </c>
    </row>
    <row r="28" spans="2:7" ht="13.95" customHeight="1" outlineLevel="2" x14ac:dyDescent="0.25">
      <c r="B28" s="2">
        <v>3.5</v>
      </c>
      <c r="C28" s="46" t="s">
        <v>205</v>
      </c>
      <c r="D28" s="2"/>
      <c r="E28" s="34">
        <v>46093</v>
      </c>
      <c r="F28" s="8">
        <v>2</v>
      </c>
      <c r="G28" s="33">
        <f t="shared" ref="G28:G31" si="59">(E28+F28) - 1</f>
        <v>46094</v>
      </c>
    </row>
    <row r="29" spans="2:7" ht="13.95" customHeight="1" outlineLevel="2" x14ac:dyDescent="0.25">
      <c r="B29" s="2">
        <v>3.6</v>
      </c>
      <c r="C29" s="46" t="s">
        <v>206</v>
      </c>
      <c r="D29" s="2"/>
      <c r="E29" s="34">
        <v>46094</v>
      </c>
      <c r="F29" s="8">
        <v>3</v>
      </c>
      <c r="G29" s="33">
        <f t="shared" si="59"/>
        <v>46096</v>
      </c>
    </row>
    <row r="30" spans="2:7" ht="13.95" customHeight="1" outlineLevel="2" x14ac:dyDescent="0.25">
      <c r="B30" s="2">
        <v>3.7</v>
      </c>
      <c r="C30" s="46" t="s">
        <v>207</v>
      </c>
      <c r="D30" s="2"/>
      <c r="E30" s="34">
        <v>46097</v>
      </c>
      <c r="F30" s="8">
        <v>4</v>
      </c>
      <c r="G30" s="33">
        <f t="shared" si="59"/>
        <v>46100</v>
      </c>
    </row>
    <row r="31" spans="2:7" ht="13.95" customHeight="1" outlineLevel="1" x14ac:dyDescent="0.25">
      <c r="B31" s="2">
        <v>3.8</v>
      </c>
      <c r="C31" s="13" t="s">
        <v>208</v>
      </c>
      <c r="D31" s="2"/>
      <c r="E31" s="34">
        <v>46100</v>
      </c>
      <c r="F31" s="8">
        <v>4</v>
      </c>
      <c r="G31" s="33">
        <f t="shared" si="59"/>
        <v>46103</v>
      </c>
    </row>
    <row r="32" spans="2:7" ht="13.95" customHeight="1" outlineLevel="2" x14ac:dyDescent="0.25">
      <c r="B32" s="2">
        <v>3.9</v>
      </c>
      <c r="C32" s="46" t="s">
        <v>209</v>
      </c>
      <c r="D32" s="2"/>
      <c r="E32" s="34">
        <v>46101</v>
      </c>
      <c r="F32" s="8">
        <v>5</v>
      </c>
      <c r="G32" s="33">
        <f t="shared" ref="G32:G34" si="60">(E32+F32) - 1</f>
        <v>46105</v>
      </c>
    </row>
    <row r="33" spans="2:7" ht="13.95" customHeight="1" outlineLevel="2" x14ac:dyDescent="0.25">
      <c r="B33" s="2">
        <v>3.1</v>
      </c>
      <c r="C33" s="46" t="s">
        <v>210</v>
      </c>
      <c r="D33" s="2"/>
      <c r="E33" s="34">
        <v>46105</v>
      </c>
      <c r="F33" s="8">
        <v>7</v>
      </c>
      <c r="G33" s="33">
        <f t="shared" si="60"/>
        <v>46111</v>
      </c>
    </row>
    <row r="34" spans="2:7" ht="13.95" customHeight="1" outlineLevel="2" x14ac:dyDescent="0.25">
      <c r="B34" s="2">
        <v>3.11</v>
      </c>
      <c r="C34" s="46" t="s">
        <v>211</v>
      </c>
      <c r="D34" s="2"/>
      <c r="E34" s="34">
        <v>46106</v>
      </c>
      <c r="F34" s="8">
        <v>7</v>
      </c>
      <c r="G34" s="33">
        <f t="shared" si="60"/>
        <v>46112</v>
      </c>
    </row>
    <row r="35" spans="2:7" ht="13.95" customHeight="1" outlineLevel="2" x14ac:dyDescent="0.25">
      <c r="B35" s="2">
        <v>3.12</v>
      </c>
      <c r="C35" s="46" t="s">
        <v>212</v>
      </c>
      <c r="D35" s="2"/>
      <c r="E35" s="34">
        <v>46107</v>
      </c>
      <c r="F35" s="8">
        <v>3</v>
      </c>
      <c r="G35" s="33">
        <f t="shared" ref="G35:G36" si="61">(E35+F35) - 1</f>
        <v>46109</v>
      </c>
    </row>
    <row r="36" spans="2:7" ht="13.95" customHeight="1" outlineLevel="1" x14ac:dyDescent="0.25">
      <c r="B36" s="2">
        <v>3.13</v>
      </c>
      <c r="C36" s="13" t="s">
        <v>48</v>
      </c>
      <c r="D36" s="34" t="s">
        <v>89</v>
      </c>
      <c r="E36" s="34">
        <v>46107</v>
      </c>
      <c r="F36" s="8">
        <v>2</v>
      </c>
      <c r="G36" s="34">
        <f t="shared" si="61"/>
        <v>46108</v>
      </c>
    </row>
    <row r="37" spans="2:7" ht="13.95" customHeight="1" outlineLevel="2" x14ac:dyDescent="0.25">
      <c r="B37" s="2">
        <v>3.14</v>
      </c>
      <c r="C37" s="46" t="s">
        <v>197</v>
      </c>
      <c r="D37" s="34" t="s">
        <v>89</v>
      </c>
      <c r="E37" s="34">
        <v>46108</v>
      </c>
      <c r="F37" s="8">
        <v>7</v>
      </c>
      <c r="G37" s="33">
        <f t="shared" ref="G37:G39" si="62">(E37+F37) - 1</f>
        <v>46114</v>
      </c>
    </row>
    <row r="38" spans="2:7" ht="13.95" customHeight="1" outlineLevel="2" x14ac:dyDescent="0.25">
      <c r="B38" s="2">
        <v>3.15</v>
      </c>
      <c r="C38" s="46" t="s">
        <v>215</v>
      </c>
      <c r="D38" s="2"/>
      <c r="E38" s="34">
        <v>46109</v>
      </c>
      <c r="F38" s="8">
        <v>7</v>
      </c>
      <c r="G38" s="33">
        <f t="shared" si="62"/>
        <v>46115</v>
      </c>
    </row>
    <row r="39" spans="2:7" ht="13.95" customHeight="1" outlineLevel="2" x14ac:dyDescent="0.25">
      <c r="B39" s="2">
        <v>3.16</v>
      </c>
      <c r="C39" s="46" t="s">
        <v>214</v>
      </c>
      <c r="D39" s="2"/>
      <c r="E39" s="34">
        <v>46110</v>
      </c>
      <c r="F39" s="8">
        <v>2</v>
      </c>
      <c r="G39" s="33">
        <f t="shared" si="62"/>
        <v>46111</v>
      </c>
    </row>
    <row r="40" spans="2:7" ht="13.95" customHeight="1" x14ac:dyDescent="0.25">
      <c r="B40" s="2"/>
      <c r="C40" s="2"/>
      <c r="D40" s="2"/>
      <c r="E40" s="8"/>
      <c r="F40" s="8"/>
      <c r="G40" s="8"/>
    </row>
    <row r="41" spans="2:7" ht="13.95" customHeight="1" x14ac:dyDescent="0.25">
      <c r="B41" s="22">
        <v>4</v>
      </c>
      <c r="C41" s="22" t="s">
        <v>91</v>
      </c>
      <c r="D41" s="2"/>
      <c r="E41" s="37">
        <f>MIN(E42:E45)</f>
        <v>46111</v>
      </c>
      <c r="F41" s="8"/>
      <c r="G41" s="37">
        <f>MAX(G42:G45)</f>
        <v>46120</v>
      </c>
    </row>
    <row r="42" spans="2:7" ht="13.95" customHeight="1" outlineLevel="2" x14ac:dyDescent="0.25">
      <c r="B42" s="2">
        <v>4.0999999999999996</v>
      </c>
      <c r="C42" s="2" t="s">
        <v>36</v>
      </c>
      <c r="D42" s="2"/>
      <c r="E42" s="34">
        <v>46111</v>
      </c>
      <c r="F42" s="8">
        <v>2</v>
      </c>
      <c r="G42" s="33">
        <f t="shared" ref="G42:G45" si="63">(E42+F42) - 1</f>
        <v>46112</v>
      </c>
    </row>
    <row r="43" spans="2:7" ht="13.95" customHeight="1" outlineLevel="2" x14ac:dyDescent="0.25">
      <c r="B43" s="2">
        <v>4.2</v>
      </c>
      <c r="C43" s="2" t="s">
        <v>38</v>
      </c>
      <c r="D43" s="2"/>
      <c r="E43" s="34">
        <v>46112</v>
      </c>
      <c r="F43" s="8">
        <v>1</v>
      </c>
      <c r="G43" s="33">
        <f t="shared" si="63"/>
        <v>46112</v>
      </c>
    </row>
    <row r="44" spans="2:7" ht="13.95" customHeight="1" outlineLevel="2" x14ac:dyDescent="0.25">
      <c r="B44" s="2">
        <v>4.3</v>
      </c>
      <c r="C44" s="2" t="s">
        <v>40</v>
      </c>
      <c r="D44" s="2"/>
      <c r="E44" s="34">
        <v>46113</v>
      </c>
      <c r="F44" s="8">
        <v>3</v>
      </c>
      <c r="G44" s="33">
        <f t="shared" si="63"/>
        <v>46115</v>
      </c>
    </row>
    <row r="45" spans="2:7" ht="13.95" customHeight="1" outlineLevel="2" x14ac:dyDescent="0.25">
      <c r="B45" s="2">
        <v>4.4000000000000004</v>
      </c>
      <c r="C45" s="2" t="s">
        <v>213</v>
      </c>
      <c r="D45" s="2"/>
      <c r="E45" s="34">
        <v>46120</v>
      </c>
      <c r="F45" s="8">
        <v>1</v>
      </c>
      <c r="G45" s="33">
        <f t="shared" si="63"/>
        <v>46120</v>
      </c>
    </row>
  </sheetData>
  <mergeCells count="11">
    <mergeCell ref="CA8:CG8"/>
    <mergeCell ref="BF8:BL8"/>
    <mergeCell ref="BM8:BS8"/>
    <mergeCell ref="BT8:BZ8"/>
    <mergeCell ref="I8:O8"/>
    <mergeCell ref="P8:V8"/>
    <mergeCell ref="W8:AC8"/>
    <mergeCell ref="AY8:BE8"/>
    <mergeCell ref="AR8:AX8"/>
    <mergeCell ref="AD8:AJ8"/>
    <mergeCell ref="AK8:AQ8"/>
  </mergeCells>
  <phoneticPr fontId="11" type="noConversion"/>
  <conditionalFormatting sqref="I12:BE21 I22:BD23 BE23:CB23 I24:BE45 BF33:BG33 BG34:BN34 BM35:BO35 BP37:BU37 BU38:CB38 CA39:CB39 CB41:CG41">
    <cfRule type="expression" dxfId="3" priority="7">
      <formula>AND(I$9&gt;=$E12,I$9&lt;=$G12)</formula>
    </cfRule>
  </conditionalFormatting>
  <conditionalFormatting sqref="I9:CG10">
    <cfRule type="expression" dxfId="2" priority="8">
      <formula>I$9=TODAY()</formula>
    </cfRule>
  </conditionalFormatting>
  <pageMargins left="0.70866141732283472" right="0.70866141732283472" top="0.74803149606299213" bottom="0.74803149606299213" header="0.31496062992125984" footer="0.31496062992125984"/>
  <pageSetup scale="29" orientation="landscape" horizontalDpi="4294967293" verticalDpi="0" r:id="rId1"/>
  <ignoredErrors>
    <ignoredError sqref="G2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8327-F09E-4BB7-964A-CE984609C7A6}">
  <dimension ref="B1:P20"/>
  <sheetViews>
    <sheetView showGridLines="0" workbookViewId="0">
      <selection activeCell="B1" sqref="B1:L1048576"/>
    </sheetView>
  </sheetViews>
  <sheetFormatPr defaultColWidth="8.88671875" defaultRowHeight="13.95" customHeight="1" x14ac:dyDescent="0.25"/>
  <cols>
    <col min="1" max="2" width="5.6640625" style="1" customWidth="1"/>
    <col min="3" max="3" width="35.88671875" style="1" customWidth="1"/>
    <col min="4" max="4" width="15.33203125" style="1" bestFit="1" customWidth="1"/>
    <col min="5" max="5" width="12.44140625" style="1" bestFit="1" customWidth="1"/>
    <col min="6" max="11" width="9.33203125" style="1" customWidth="1"/>
    <col min="12" max="12" width="13.33203125" style="1" customWidth="1"/>
    <col min="13" max="13" width="8.88671875" style="1"/>
    <col min="14" max="14" width="5.6640625" style="1" customWidth="1"/>
    <col min="15" max="15" width="8.6640625" style="1" customWidth="1"/>
    <col min="16" max="17" width="5.6640625" style="1" customWidth="1"/>
    <col min="18" max="16384" width="8.88671875" style="1"/>
  </cols>
  <sheetData>
    <row r="1" spans="2:16" ht="13.95" customHeight="1" x14ac:dyDescent="0.25">
      <c r="B1" s="21" t="s">
        <v>92</v>
      </c>
    </row>
    <row r="3" spans="2:16" ht="13.95" customHeight="1" x14ac:dyDescent="0.25">
      <c r="B3" s="11" t="s">
        <v>87</v>
      </c>
      <c r="C3" s="9">
        <v>3.2</v>
      </c>
      <c r="E3" s="24" t="s">
        <v>2</v>
      </c>
    </row>
    <row r="4" spans="2:16" ht="13.95" customHeight="1" x14ac:dyDescent="0.25">
      <c r="B4" s="18" t="s">
        <v>68</v>
      </c>
      <c r="C4" s="29"/>
      <c r="D4" s="14"/>
      <c r="E4" s="27"/>
    </row>
    <row r="5" spans="2:16" ht="13.95" customHeight="1" x14ac:dyDescent="0.25">
      <c r="B5" s="11" t="s">
        <v>46</v>
      </c>
      <c r="E5" s="28" t="s">
        <v>5</v>
      </c>
      <c r="G5" s="24" t="s">
        <v>93</v>
      </c>
    </row>
    <row r="6" spans="2:16" ht="13.95" customHeight="1" x14ac:dyDescent="0.25">
      <c r="B6" s="16"/>
      <c r="C6" s="29"/>
      <c r="D6" s="14"/>
      <c r="E6" s="27"/>
      <c r="G6" s="39">
        <v>15</v>
      </c>
    </row>
    <row r="7" spans="2:16" ht="13.95" customHeight="1" x14ac:dyDescent="0.25">
      <c r="G7" s="53"/>
    </row>
    <row r="8" spans="2:16" ht="13.95" customHeight="1" thickBot="1" x14ac:dyDescent="0.3">
      <c r="B8" s="62" t="s">
        <v>7</v>
      </c>
      <c r="C8" s="63" t="s">
        <v>94</v>
      </c>
      <c r="D8" s="64" t="s">
        <v>95</v>
      </c>
      <c r="E8" s="65" t="s">
        <v>96</v>
      </c>
      <c r="F8" s="63" t="s">
        <v>97</v>
      </c>
      <c r="G8" s="65" t="s">
        <v>98</v>
      </c>
      <c r="H8" s="65" t="s">
        <v>99</v>
      </c>
      <c r="I8" s="65" t="s">
        <v>100</v>
      </c>
      <c r="J8" s="65" t="s">
        <v>101</v>
      </c>
      <c r="K8" s="65" t="s">
        <v>102</v>
      </c>
      <c r="L8" s="63" t="s">
        <v>103</v>
      </c>
      <c r="N8" s="72" t="s">
        <v>98</v>
      </c>
      <c r="O8" s="72"/>
      <c r="P8" s="72" t="s">
        <v>99</v>
      </c>
    </row>
    <row r="9" spans="2:16" ht="13.95" customHeight="1" x14ac:dyDescent="0.25">
      <c r="B9" s="66"/>
      <c r="C9" s="67"/>
      <c r="D9" s="68"/>
      <c r="E9" s="69"/>
      <c r="F9" s="67"/>
      <c r="G9" s="69"/>
      <c r="H9" s="69"/>
      <c r="I9" s="69"/>
      <c r="J9" s="69"/>
      <c r="K9" s="69"/>
      <c r="L9" s="67"/>
      <c r="N9" s="82" t="s">
        <v>104</v>
      </c>
      <c r="O9" s="83"/>
      <c r="P9" s="84"/>
    </row>
    <row r="10" spans="2:16" ht="13.95" customHeight="1" x14ac:dyDescent="0.25">
      <c r="B10" s="66">
        <v>1</v>
      </c>
      <c r="C10" s="70" t="s">
        <v>105</v>
      </c>
      <c r="D10" s="71"/>
      <c r="E10" s="69">
        <v>1</v>
      </c>
      <c r="F10" s="70" t="s">
        <v>90</v>
      </c>
      <c r="G10" s="69">
        <v>0</v>
      </c>
      <c r="H10" s="69">
        <f t="shared" ref="H10:H20" si="0">G10+E10</f>
        <v>1</v>
      </c>
      <c r="I10" s="69">
        <f t="shared" ref="I10:I20" si="1">J10-E10</f>
        <v>0</v>
      </c>
      <c r="J10" s="69">
        <f>MIN(I11:I14)</f>
        <v>1</v>
      </c>
      <c r="K10" s="69">
        <f>I10-G10</f>
        <v>0</v>
      </c>
      <c r="L10" s="67" t="str">
        <f>IF(K10&lt;=0,"Yes","No")</f>
        <v>Yes</v>
      </c>
      <c r="N10" s="85"/>
      <c r="O10" s="86"/>
      <c r="P10" s="87"/>
    </row>
    <row r="11" spans="2:16" ht="13.95" customHeight="1" thickBot="1" x14ac:dyDescent="0.3">
      <c r="B11" s="66">
        <v>2</v>
      </c>
      <c r="C11" s="67" t="s">
        <v>106</v>
      </c>
      <c r="D11" s="68" t="s">
        <v>107</v>
      </c>
      <c r="E11" s="69">
        <v>2</v>
      </c>
      <c r="F11" s="70" t="s">
        <v>90</v>
      </c>
      <c r="G11" s="69">
        <f>H10</f>
        <v>1</v>
      </c>
      <c r="H11" s="69">
        <f t="shared" si="0"/>
        <v>3</v>
      </c>
      <c r="I11" s="69">
        <f t="shared" si="1"/>
        <v>2</v>
      </c>
      <c r="J11" s="69">
        <f>I15</f>
        <v>4</v>
      </c>
      <c r="K11" s="69">
        <f t="shared" ref="K11:K20" si="2">I11-G11</f>
        <v>1</v>
      </c>
      <c r="L11" s="67" t="str">
        <f t="shared" ref="L11:L20" si="3">IF(K11&lt;=0,"Yes","No")</f>
        <v>No</v>
      </c>
      <c r="N11" s="73" t="s">
        <v>7</v>
      </c>
      <c r="O11" s="74" t="s">
        <v>108</v>
      </c>
      <c r="P11" s="75" t="s">
        <v>109</v>
      </c>
    </row>
    <row r="12" spans="2:16" ht="13.95" customHeight="1" x14ac:dyDescent="0.25">
      <c r="B12" s="66">
        <v>3</v>
      </c>
      <c r="C12" s="67" t="s">
        <v>110</v>
      </c>
      <c r="D12" s="68" t="s">
        <v>107</v>
      </c>
      <c r="E12" s="69">
        <v>2</v>
      </c>
      <c r="F12" s="70" t="s">
        <v>90</v>
      </c>
      <c r="G12" s="69">
        <f>H10</f>
        <v>1</v>
      </c>
      <c r="H12" s="69">
        <f t="shared" si="0"/>
        <v>3</v>
      </c>
      <c r="I12" s="69">
        <f t="shared" si="1"/>
        <v>2</v>
      </c>
      <c r="J12" s="69">
        <f>I15</f>
        <v>4</v>
      </c>
      <c r="K12" s="69">
        <f t="shared" si="2"/>
        <v>1</v>
      </c>
      <c r="L12" s="67" t="str">
        <f t="shared" si="3"/>
        <v>No</v>
      </c>
      <c r="N12" s="72" t="s">
        <v>100</v>
      </c>
      <c r="O12" s="72"/>
      <c r="P12" s="72" t="s">
        <v>101</v>
      </c>
    </row>
    <row r="13" spans="2:16" ht="13.95" customHeight="1" x14ac:dyDescent="0.25">
      <c r="B13" s="66">
        <v>4</v>
      </c>
      <c r="C13" s="67" t="s">
        <v>111</v>
      </c>
      <c r="D13" s="68" t="s">
        <v>107</v>
      </c>
      <c r="E13" s="69">
        <v>2</v>
      </c>
      <c r="F13" s="70" t="s">
        <v>90</v>
      </c>
      <c r="G13" s="69">
        <f>H10</f>
        <v>1</v>
      </c>
      <c r="H13" s="69">
        <f t="shared" si="0"/>
        <v>3</v>
      </c>
      <c r="I13" s="69">
        <f t="shared" si="1"/>
        <v>2</v>
      </c>
      <c r="J13" s="69">
        <f>I15</f>
        <v>4</v>
      </c>
      <c r="K13" s="69">
        <f t="shared" si="2"/>
        <v>1</v>
      </c>
      <c r="L13" s="67" t="str">
        <f t="shared" si="3"/>
        <v>No</v>
      </c>
    </row>
    <row r="14" spans="2:16" ht="13.95" customHeight="1" x14ac:dyDescent="0.25">
      <c r="B14" s="66">
        <v>5</v>
      </c>
      <c r="C14" s="67" t="s">
        <v>112</v>
      </c>
      <c r="D14" s="68" t="s">
        <v>107</v>
      </c>
      <c r="E14" s="69">
        <v>3</v>
      </c>
      <c r="F14" s="70" t="s">
        <v>90</v>
      </c>
      <c r="G14" s="69">
        <f>H10</f>
        <v>1</v>
      </c>
      <c r="H14" s="69">
        <f t="shared" si="0"/>
        <v>4</v>
      </c>
      <c r="I14" s="69">
        <f t="shared" si="1"/>
        <v>1</v>
      </c>
      <c r="J14" s="69">
        <f>I15</f>
        <v>4</v>
      </c>
      <c r="K14" s="69">
        <f t="shared" si="2"/>
        <v>0</v>
      </c>
      <c r="L14" s="67" t="str">
        <f t="shared" si="3"/>
        <v>Yes</v>
      </c>
      <c r="N14" s="44" t="s">
        <v>98</v>
      </c>
      <c r="O14" s="1" t="s">
        <v>113</v>
      </c>
    </row>
    <row r="15" spans="2:16" ht="13.95" customHeight="1" x14ac:dyDescent="0.25">
      <c r="B15" s="66">
        <v>6</v>
      </c>
      <c r="C15" s="67" t="s">
        <v>114</v>
      </c>
      <c r="D15" s="68" t="s">
        <v>115</v>
      </c>
      <c r="E15" s="69">
        <v>1</v>
      </c>
      <c r="F15" s="70" t="s">
        <v>90</v>
      </c>
      <c r="G15" s="69">
        <f>MAX(H11:H14)</f>
        <v>4</v>
      </c>
      <c r="H15" s="69">
        <f t="shared" si="0"/>
        <v>5</v>
      </c>
      <c r="I15" s="69">
        <f t="shared" si="1"/>
        <v>4</v>
      </c>
      <c r="J15" s="69">
        <f>MIN(I16:I17)</f>
        <v>5</v>
      </c>
      <c r="K15" s="69">
        <f t="shared" si="2"/>
        <v>0</v>
      </c>
      <c r="L15" s="67" t="str">
        <f t="shared" si="3"/>
        <v>Yes</v>
      </c>
      <c r="N15" s="44" t="s">
        <v>99</v>
      </c>
      <c r="O15" s="1" t="s">
        <v>116</v>
      </c>
    </row>
    <row r="16" spans="2:16" ht="13.95" customHeight="1" x14ac:dyDescent="0.25">
      <c r="B16" s="66">
        <v>7</v>
      </c>
      <c r="C16" s="67" t="s">
        <v>117</v>
      </c>
      <c r="D16" s="68" t="s">
        <v>118</v>
      </c>
      <c r="E16" s="69">
        <v>2</v>
      </c>
      <c r="F16" s="70" t="s">
        <v>119</v>
      </c>
      <c r="G16" s="69">
        <f>H15</f>
        <v>5</v>
      </c>
      <c r="H16" s="69">
        <f t="shared" si="0"/>
        <v>7</v>
      </c>
      <c r="I16" s="69">
        <f t="shared" si="1"/>
        <v>5</v>
      </c>
      <c r="J16" s="69">
        <f>I18</f>
        <v>7</v>
      </c>
      <c r="K16" s="69">
        <f t="shared" si="2"/>
        <v>0</v>
      </c>
      <c r="L16" s="67" t="str">
        <f t="shared" si="3"/>
        <v>Yes</v>
      </c>
      <c r="N16" s="44" t="s">
        <v>100</v>
      </c>
      <c r="O16" s="1" t="s">
        <v>120</v>
      </c>
    </row>
    <row r="17" spans="2:15" ht="13.95" customHeight="1" x14ac:dyDescent="0.25">
      <c r="B17" s="66">
        <v>8</v>
      </c>
      <c r="C17" s="67" t="s">
        <v>121</v>
      </c>
      <c r="D17" s="68" t="s">
        <v>118</v>
      </c>
      <c r="E17" s="69">
        <v>1</v>
      </c>
      <c r="F17" s="70" t="s">
        <v>122</v>
      </c>
      <c r="G17" s="69">
        <f>H15</f>
        <v>5</v>
      </c>
      <c r="H17" s="69">
        <f t="shared" si="0"/>
        <v>6</v>
      </c>
      <c r="I17" s="69">
        <f t="shared" si="1"/>
        <v>6</v>
      </c>
      <c r="J17" s="69">
        <f>I18</f>
        <v>7</v>
      </c>
      <c r="K17" s="69">
        <f t="shared" si="2"/>
        <v>1</v>
      </c>
      <c r="L17" s="67" t="str">
        <f t="shared" si="3"/>
        <v>No</v>
      </c>
      <c r="N17" s="44" t="s">
        <v>101</v>
      </c>
      <c r="O17" s="1" t="s">
        <v>123</v>
      </c>
    </row>
    <row r="18" spans="2:15" ht="13.95" customHeight="1" x14ac:dyDescent="0.25">
      <c r="B18" s="66">
        <v>9</v>
      </c>
      <c r="C18" s="67" t="s">
        <v>124</v>
      </c>
      <c r="D18" s="68" t="s">
        <v>125</v>
      </c>
      <c r="E18" s="69">
        <v>4</v>
      </c>
      <c r="F18" s="70" t="s">
        <v>90</v>
      </c>
      <c r="G18" s="69">
        <f>MAX(H16:H17)</f>
        <v>7</v>
      </c>
      <c r="H18" s="69">
        <f t="shared" si="0"/>
        <v>11</v>
      </c>
      <c r="I18" s="69">
        <f t="shared" si="1"/>
        <v>7</v>
      </c>
      <c r="J18" s="69">
        <f>I19</f>
        <v>11</v>
      </c>
      <c r="K18" s="69">
        <f t="shared" si="2"/>
        <v>0</v>
      </c>
      <c r="L18" s="67" t="str">
        <f t="shared" si="3"/>
        <v>Yes</v>
      </c>
      <c r="N18" s="44" t="s">
        <v>7</v>
      </c>
      <c r="O18" s="1" t="s">
        <v>126</v>
      </c>
    </row>
    <row r="19" spans="2:15" ht="13.95" customHeight="1" x14ac:dyDescent="0.25">
      <c r="B19" s="66">
        <v>10</v>
      </c>
      <c r="C19" s="67" t="s">
        <v>127</v>
      </c>
      <c r="D19" s="68" t="s">
        <v>128</v>
      </c>
      <c r="E19" s="69">
        <v>2</v>
      </c>
      <c r="F19" s="70" t="s">
        <v>90</v>
      </c>
      <c r="G19" s="69">
        <f>H18</f>
        <v>11</v>
      </c>
      <c r="H19" s="69">
        <f t="shared" si="0"/>
        <v>13</v>
      </c>
      <c r="I19" s="69">
        <f t="shared" si="1"/>
        <v>11</v>
      </c>
      <c r="J19" s="69">
        <f>I20</f>
        <v>13</v>
      </c>
      <c r="K19" s="69">
        <f t="shared" si="2"/>
        <v>0</v>
      </c>
      <c r="L19" s="67" t="str">
        <f t="shared" si="3"/>
        <v>Yes</v>
      </c>
      <c r="N19" s="44" t="s">
        <v>109</v>
      </c>
      <c r="O19" s="1" t="s">
        <v>129</v>
      </c>
    </row>
    <row r="20" spans="2:15" ht="13.95" customHeight="1" x14ac:dyDescent="0.25">
      <c r="B20" s="66">
        <v>11</v>
      </c>
      <c r="C20" s="67" t="s">
        <v>130</v>
      </c>
      <c r="D20" s="68" t="s">
        <v>131</v>
      </c>
      <c r="E20" s="69">
        <v>2</v>
      </c>
      <c r="F20" s="70" t="s">
        <v>119</v>
      </c>
      <c r="G20" s="69">
        <f>H19</f>
        <v>13</v>
      </c>
      <c r="H20" s="69">
        <f t="shared" si="0"/>
        <v>15</v>
      </c>
      <c r="I20" s="69">
        <f t="shared" si="1"/>
        <v>13</v>
      </c>
      <c r="J20" s="69">
        <f>G6</f>
        <v>15</v>
      </c>
      <c r="K20" s="69">
        <f t="shared" si="2"/>
        <v>0</v>
      </c>
      <c r="L20" s="67" t="str">
        <f t="shared" si="3"/>
        <v>Yes</v>
      </c>
      <c r="N20" s="44" t="s">
        <v>108</v>
      </c>
      <c r="O20" s="1" t="s">
        <v>132</v>
      </c>
    </row>
  </sheetData>
  <mergeCells count="1">
    <mergeCell ref="N9:P10"/>
  </mergeCells>
  <conditionalFormatting sqref="L10:L20">
    <cfRule type="containsText" dxfId="1" priority="1" operator="containsText" text="Yes">
      <formula>NOT(ISERROR(SEARCH("Yes",L10)))</formula>
    </cfRule>
  </conditionalFormatting>
  <pageMargins left="0.7" right="0.7" top="0.75" bottom="0.75" header="0.3" footer="0.3"/>
  <ignoredErrors>
    <ignoredError sqref="D11:D14 D16:D17 D19:D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C3ED-9971-4FD4-9A53-E5822C1191F5}">
  <dimension ref="A1:K20"/>
  <sheetViews>
    <sheetView workbookViewId="0">
      <selection activeCell="P20" sqref="P20"/>
    </sheetView>
  </sheetViews>
  <sheetFormatPr defaultRowHeight="13.2" x14ac:dyDescent="0.25"/>
  <cols>
    <col min="1" max="1" width="5.6640625" style="1" customWidth="1"/>
    <col min="2" max="2" width="35.88671875" style="1" customWidth="1"/>
    <col min="3" max="3" width="15.33203125" style="1" bestFit="1" customWidth="1"/>
    <col min="4" max="4" width="12.44140625" style="1" bestFit="1" customWidth="1"/>
    <col min="5" max="10" width="9.33203125" style="1" customWidth="1"/>
    <col min="11" max="11" width="13.33203125" style="1" customWidth="1"/>
  </cols>
  <sheetData>
    <row r="1" spans="1:11" x14ac:dyDescent="0.25">
      <c r="A1" s="21" t="s">
        <v>92</v>
      </c>
    </row>
    <row r="3" spans="1:11" x14ac:dyDescent="0.25">
      <c r="A3" s="11" t="s">
        <v>87</v>
      </c>
      <c r="B3" s="9">
        <v>3.2</v>
      </c>
      <c r="D3" s="24" t="s">
        <v>2</v>
      </c>
    </row>
    <row r="4" spans="1:11" x14ac:dyDescent="0.25">
      <c r="A4" s="18" t="s">
        <v>68</v>
      </c>
      <c r="B4" s="29"/>
      <c r="C4" s="14"/>
      <c r="D4" s="27"/>
    </row>
    <row r="5" spans="1:11" x14ac:dyDescent="0.25">
      <c r="A5" s="11" t="s">
        <v>46</v>
      </c>
      <c r="D5" s="28" t="s">
        <v>5</v>
      </c>
      <c r="F5" s="24" t="s">
        <v>93</v>
      </c>
    </row>
    <row r="6" spans="1:11" x14ac:dyDescent="0.25">
      <c r="A6" s="16"/>
      <c r="B6" s="29"/>
      <c r="C6" s="14"/>
      <c r="D6" s="27"/>
      <c r="F6" s="39">
        <v>15</v>
      </c>
    </row>
    <row r="7" spans="1:11" x14ac:dyDescent="0.25">
      <c r="F7" s="53"/>
    </row>
    <row r="8" spans="1:11" x14ac:dyDescent="0.25">
      <c r="A8" s="62" t="s">
        <v>7</v>
      </c>
      <c r="B8" s="63" t="s">
        <v>94</v>
      </c>
      <c r="C8" s="64" t="s">
        <v>95</v>
      </c>
      <c r="D8" s="65" t="s">
        <v>96</v>
      </c>
      <c r="E8" s="63" t="s">
        <v>97</v>
      </c>
      <c r="F8" s="65" t="s">
        <v>98</v>
      </c>
      <c r="G8" s="65" t="s">
        <v>99</v>
      </c>
      <c r="H8" s="65" t="s">
        <v>100</v>
      </c>
      <c r="I8" s="65" t="s">
        <v>101</v>
      </c>
      <c r="J8" s="65" t="s">
        <v>102</v>
      </c>
      <c r="K8" s="63" t="s">
        <v>103</v>
      </c>
    </row>
    <row r="9" spans="1:11" hidden="1" x14ac:dyDescent="0.25">
      <c r="A9" s="66"/>
      <c r="B9" s="67"/>
      <c r="C9" s="68"/>
      <c r="D9" s="69"/>
      <c r="E9" s="67"/>
      <c r="F9" s="69"/>
      <c r="G9" s="69"/>
      <c r="H9" s="69"/>
      <c r="I9" s="69"/>
      <c r="J9" s="69"/>
      <c r="K9" s="67"/>
    </row>
    <row r="10" spans="1:11" x14ac:dyDescent="0.25">
      <c r="A10" s="66">
        <v>1</v>
      </c>
      <c r="B10" s="70" t="s">
        <v>105</v>
      </c>
      <c r="C10" s="71"/>
      <c r="D10" s="69">
        <v>1</v>
      </c>
      <c r="E10" s="70" t="s">
        <v>90</v>
      </c>
      <c r="F10" s="69">
        <v>0</v>
      </c>
      <c r="G10" s="69">
        <f t="shared" ref="G10:G20" si="0">F10+D10</f>
        <v>1</v>
      </c>
      <c r="H10" s="69">
        <f t="shared" ref="H10:H20" si="1">I10-D10</f>
        <v>0</v>
      </c>
      <c r="I10" s="69">
        <f>MIN(H11:H14)</f>
        <v>1</v>
      </c>
      <c r="J10" s="69">
        <f>H10-F10</f>
        <v>0</v>
      </c>
      <c r="K10" s="69" t="str">
        <f>IF(J10&lt;=0,"Yes","No")</f>
        <v>Yes</v>
      </c>
    </row>
    <row r="11" spans="1:11" x14ac:dyDescent="0.25">
      <c r="A11" s="66">
        <v>2</v>
      </c>
      <c r="B11" s="67" t="s">
        <v>106</v>
      </c>
      <c r="C11" s="68" t="s">
        <v>107</v>
      </c>
      <c r="D11" s="69">
        <v>2</v>
      </c>
      <c r="E11" s="70" t="s">
        <v>90</v>
      </c>
      <c r="F11" s="69">
        <f>G10</f>
        <v>1</v>
      </c>
      <c r="G11" s="69">
        <f t="shared" si="0"/>
        <v>3</v>
      </c>
      <c r="H11" s="69">
        <f t="shared" si="1"/>
        <v>2</v>
      </c>
      <c r="I11" s="69">
        <f>H15</f>
        <v>4</v>
      </c>
      <c r="J11" s="69">
        <f t="shared" ref="J11:J20" si="2">H11-F11</f>
        <v>1</v>
      </c>
      <c r="K11" s="69" t="str">
        <f t="shared" ref="K11:K20" si="3">IF(J11&lt;=0,"Yes","No")</f>
        <v>No</v>
      </c>
    </row>
    <row r="12" spans="1:11" x14ac:dyDescent="0.25">
      <c r="A12" s="66">
        <v>3</v>
      </c>
      <c r="B12" s="67" t="s">
        <v>110</v>
      </c>
      <c r="C12" s="68" t="s">
        <v>107</v>
      </c>
      <c r="D12" s="69">
        <v>2</v>
      </c>
      <c r="E12" s="70" t="s">
        <v>90</v>
      </c>
      <c r="F12" s="69">
        <f>G10</f>
        <v>1</v>
      </c>
      <c r="G12" s="69">
        <f t="shared" si="0"/>
        <v>3</v>
      </c>
      <c r="H12" s="69">
        <f t="shared" si="1"/>
        <v>2</v>
      </c>
      <c r="I12" s="69">
        <f>H15</f>
        <v>4</v>
      </c>
      <c r="J12" s="69">
        <f t="shared" si="2"/>
        <v>1</v>
      </c>
      <c r="K12" s="69" t="str">
        <f t="shared" si="3"/>
        <v>No</v>
      </c>
    </row>
    <row r="13" spans="1:11" x14ac:dyDescent="0.25">
      <c r="A13" s="66">
        <v>4</v>
      </c>
      <c r="B13" s="67" t="s">
        <v>111</v>
      </c>
      <c r="C13" s="68" t="s">
        <v>107</v>
      </c>
      <c r="D13" s="69">
        <v>2</v>
      </c>
      <c r="E13" s="70" t="s">
        <v>90</v>
      </c>
      <c r="F13" s="69">
        <f>G10</f>
        <v>1</v>
      </c>
      <c r="G13" s="69">
        <f t="shared" si="0"/>
        <v>3</v>
      </c>
      <c r="H13" s="69">
        <f t="shared" si="1"/>
        <v>2</v>
      </c>
      <c r="I13" s="69">
        <f>H15</f>
        <v>4</v>
      </c>
      <c r="J13" s="69">
        <f t="shared" si="2"/>
        <v>1</v>
      </c>
      <c r="K13" s="69" t="str">
        <f t="shared" si="3"/>
        <v>No</v>
      </c>
    </row>
    <row r="14" spans="1:11" x14ac:dyDescent="0.25">
      <c r="A14" s="66">
        <v>5</v>
      </c>
      <c r="B14" s="67" t="s">
        <v>112</v>
      </c>
      <c r="C14" s="68" t="s">
        <v>107</v>
      </c>
      <c r="D14" s="69">
        <v>3</v>
      </c>
      <c r="E14" s="70" t="s">
        <v>90</v>
      </c>
      <c r="F14" s="69">
        <f>G10</f>
        <v>1</v>
      </c>
      <c r="G14" s="69">
        <f t="shared" si="0"/>
        <v>4</v>
      </c>
      <c r="H14" s="69">
        <f t="shared" si="1"/>
        <v>1</v>
      </c>
      <c r="I14" s="69">
        <f>H15</f>
        <v>4</v>
      </c>
      <c r="J14" s="69">
        <f t="shared" si="2"/>
        <v>0</v>
      </c>
      <c r="K14" s="69" t="str">
        <f t="shared" si="3"/>
        <v>Yes</v>
      </c>
    </row>
    <row r="15" spans="1:11" x14ac:dyDescent="0.25">
      <c r="A15" s="66">
        <v>6</v>
      </c>
      <c r="B15" s="67" t="s">
        <v>114</v>
      </c>
      <c r="C15" s="68" t="s">
        <v>115</v>
      </c>
      <c r="D15" s="69">
        <v>1</v>
      </c>
      <c r="E15" s="70" t="s">
        <v>90</v>
      </c>
      <c r="F15" s="69">
        <f>MAX(G11:G14)</f>
        <v>4</v>
      </c>
      <c r="G15" s="69">
        <f t="shared" si="0"/>
        <v>5</v>
      </c>
      <c r="H15" s="69">
        <f t="shared" si="1"/>
        <v>4</v>
      </c>
      <c r="I15" s="69">
        <f>MIN(H16:H17)</f>
        <v>5</v>
      </c>
      <c r="J15" s="69">
        <f t="shared" si="2"/>
        <v>0</v>
      </c>
      <c r="K15" s="69" t="str">
        <f t="shared" si="3"/>
        <v>Yes</v>
      </c>
    </row>
    <row r="16" spans="1:11" x14ac:dyDescent="0.25">
      <c r="A16" s="66">
        <v>7</v>
      </c>
      <c r="B16" s="67" t="s">
        <v>117</v>
      </c>
      <c r="C16" s="68" t="s">
        <v>118</v>
      </c>
      <c r="D16" s="69">
        <v>2</v>
      </c>
      <c r="E16" s="70" t="s">
        <v>119</v>
      </c>
      <c r="F16" s="69">
        <f>G15</f>
        <v>5</v>
      </c>
      <c r="G16" s="69">
        <f t="shared" si="0"/>
        <v>7</v>
      </c>
      <c r="H16" s="69">
        <f t="shared" si="1"/>
        <v>5</v>
      </c>
      <c r="I16" s="69">
        <f>H18</f>
        <v>7</v>
      </c>
      <c r="J16" s="69">
        <f t="shared" si="2"/>
        <v>0</v>
      </c>
      <c r="K16" s="69" t="str">
        <f t="shared" si="3"/>
        <v>Yes</v>
      </c>
    </row>
    <row r="17" spans="1:11" x14ac:dyDescent="0.25">
      <c r="A17" s="66">
        <v>8</v>
      </c>
      <c r="B17" s="67" t="s">
        <v>121</v>
      </c>
      <c r="C17" s="68" t="s">
        <v>118</v>
      </c>
      <c r="D17" s="69">
        <v>1</v>
      </c>
      <c r="E17" s="70" t="s">
        <v>122</v>
      </c>
      <c r="F17" s="69">
        <f>G15</f>
        <v>5</v>
      </c>
      <c r="G17" s="69">
        <f t="shared" si="0"/>
        <v>6</v>
      </c>
      <c r="H17" s="69">
        <f t="shared" si="1"/>
        <v>6</v>
      </c>
      <c r="I17" s="69">
        <f>H18</f>
        <v>7</v>
      </c>
      <c r="J17" s="69">
        <f t="shared" si="2"/>
        <v>1</v>
      </c>
      <c r="K17" s="69" t="str">
        <f t="shared" si="3"/>
        <v>No</v>
      </c>
    </row>
    <row r="18" spans="1:11" x14ac:dyDescent="0.25">
      <c r="A18" s="66">
        <v>9</v>
      </c>
      <c r="B18" s="67" t="s">
        <v>124</v>
      </c>
      <c r="C18" s="68" t="s">
        <v>125</v>
      </c>
      <c r="D18" s="69">
        <v>4</v>
      </c>
      <c r="E18" s="70" t="s">
        <v>90</v>
      </c>
      <c r="F18" s="69">
        <f>MAX(G16:G17)</f>
        <v>7</v>
      </c>
      <c r="G18" s="69">
        <f t="shared" si="0"/>
        <v>11</v>
      </c>
      <c r="H18" s="69">
        <f t="shared" si="1"/>
        <v>7</v>
      </c>
      <c r="I18" s="69">
        <f>H19</f>
        <v>11</v>
      </c>
      <c r="J18" s="69">
        <f t="shared" si="2"/>
        <v>0</v>
      </c>
      <c r="K18" s="69" t="str">
        <f t="shared" si="3"/>
        <v>Yes</v>
      </c>
    </row>
    <row r="19" spans="1:11" x14ac:dyDescent="0.25">
      <c r="A19" s="66">
        <v>10</v>
      </c>
      <c r="B19" s="67" t="s">
        <v>127</v>
      </c>
      <c r="C19" s="68" t="s">
        <v>128</v>
      </c>
      <c r="D19" s="69">
        <v>2</v>
      </c>
      <c r="E19" s="70" t="s">
        <v>90</v>
      </c>
      <c r="F19" s="69">
        <f>G18</f>
        <v>11</v>
      </c>
      <c r="G19" s="69">
        <f t="shared" si="0"/>
        <v>13</v>
      </c>
      <c r="H19" s="69">
        <f t="shared" si="1"/>
        <v>11</v>
      </c>
      <c r="I19" s="69">
        <f>H20</f>
        <v>13</v>
      </c>
      <c r="J19" s="69">
        <f t="shared" si="2"/>
        <v>0</v>
      </c>
      <c r="K19" s="69" t="str">
        <f t="shared" si="3"/>
        <v>Yes</v>
      </c>
    </row>
    <row r="20" spans="1:11" x14ac:dyDescent="0.25">
      <c r="A20" s="66">
        <v>11</v>
      </c>
      <c r="B20" s="67" t="s">
        <v>130</v>
      </c>
      <c r="C20" s="68" t="s">
        <v>131</v>
      </c>
      <c r="D20" s="69">
        <v>2</v>
      </c>
      <c r="E20" s="70" t="s">
        <v>119</v>
      </c>
      <c r="F20" s="69">
        <f>G19</f>
        <v>13</v>
      </c>
      <c r="G20" s="69">
        <f t="shared" si="0"/>
        <v>15</v>
      </c>
      <c r="H20" s="69">
        <f t="shared" si="1"/>
        <v>13</v>
      </c>
      <c r="I20" s="69">
        <f>F6</f>
        <v>15</v>
      </c>
      <c r="J20" s="69">
        <f t="shared" si="2"/>
        <v>0</v>
      </c>
      <c r="K20" s="69" t="str">
        <f t="shared" si="3"/>
        <v>Yes</v>
      </c>
    </row>
  </sheetData>
  <conditionalFormatting sqref="K10:K20">
    <cfRule type="containsText" dxfId="0" priority="1" operator="containsText" text="Yes">
      <formula>NOT(ISERROR(SEARCH("Yes",K10)))</formula>
    </cfRule>
  </conditionalFormatting>
  <pageMargins left="0.7" right="0.7" top="0.75" bottom="0.75" header="0.3" footer="0.3"/>
  <ignoredErrors>
    <ignoredError sqref="C11:C2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58E1-1CCB-4540-BDE3-A9E94D18060C}">
  <dimension ref="B1:I32"/>
  <sheetViews>
    <sheetView showGridLines="0" workbookViewId="0">
      <pane xSplit="9" ySplit="2" topLeftCell="M8" activePane="bottomRight" state="frozen"/>
      <selection pane="topRight" activeCell="J1" sqref="J1"/>
      <selection pane="bottomLeft" activeCell="A3" sqref="A3"/>
      <selection pane="bottomRight" activeCell="AG25" sqref="AG25"/>
    </sheetView>
  </sheetViews>
  <sheetFormatPr defaultColWidth="8.88671875" defaultRowHeight="13.95" customHeight="1" x14ac:dyDescent="0.25"/>
  <cols>
    <col min="1" max="1" width="5.6640625" style="1" customWidth="1"/>
    <col min="2" max="2" width="5.6640625" style="49" customWidth="1"/>
    <col min="3" max="3" width="8.6640625" style="49" customWidth="1"/>
    <col min="4" max="4" width="5.6640625" style="49" customWidth="1"/>
    <col min="5" max="5" width="3.6640625" style="49" customWidth="1"/>
    <col min="6" max="6" width="5.6640625" style="49" customWidth="1"/>
    <col min="7" max="7" width="8.6640625" style="49" customWidth="1"/>
    <col min="8" max="8" width="5.6640625" style="49" customWidth="1"/>
    <col min="9" max="9" width="3.6640625" style="49" customWidth="1"/>
    <col min="10" max="10" width="8.88671875" style="1" customWidth="1"/>
    <col min="11" max="16384" width="8.88671875" style="1"/>
  </cols>
  <sheetData>
    <row r="1" spans="2:8" ht="13.95" customHeight="1" x14ac:dyDescent="0.25">
      <c r="B1" s="50" t="s">
        <v>133</v>
      </c>
    </row>
    <row r="4" spans="2:8" ht="13.95" customHeight="1" thickBot="1" x14ac:dyDescent="0.3">
      <c r="B4" s="49">
        <f>'Scheduling Critical Path'!$G10</f>
        <v>0</v>
      </c>
      <c r="D4" s="49">
        <f>B4+D6</f>
        <v>1</v>
      </c>
      <c r="F4" s="49">
        <f>'Scheduling Critical Path'!G11</f>
        <v>1</v>
      </c>
      <c r="H4" s="49">
        <f>F4+H6</f>
        <v>3</v>
      </c>
    </row>
    <row r="5" spans="2:8" ht="30" customHeight="1" x14ac:dyDescent="0.25">
      <c r="B5" s="88" t="str">
        <f>'Scheduling Critical Path'!$C10</f>
        <v>Develop Pet model in back-end</v>
      </c>
      <c r="C5" s="89"/>
      <c r="D5" s="90"/>
      <c r="F5" s="91" t="str">
        <f>'Scheduling Critical Path'!$C11</f>
        <v>Develop POST endpoint for pet</v>
      </c>
      <c r="G5" s="92"/>
      <c r="H5" s="93"/>
    </row>
    <row r="6" spans="2:8" ht="13.95" customHeight="1" thickBot="1" x14ac:dyDescent="0.3">
      <c r="B6" s="54">
        <f>'Scheduling Critical Path'!$B10</f>
        <v>1</v>
      </c>
      <c r="C6" s="51" t="str">
        <f>'Scheduling Critical Path'!$F10</f>
        <v>Ian</v>
      </c>
      <c r="D6" s="52">
        <f>'Scheduling Critical Path'!$E10</f>
        <v>1</v>
      </c>
      <c r="F6" s="54">
        <f>'Scheduling Critical Path'!$B11</f>
        <v>2</v>
      </c>
      <c r="G6" s="51" t="str">
        <f>'Scheduling Critical Path'!$F11</f>
        <v>Ian</v>
      </c>
      <c r="H6" s="52">
        <f>'Scheduling Critical Path'!$E11</f>
        <v>2</v>
      </c>
    </row>
    <row r="7" spans="2:8" ht="13.95" customHeight="1" x14ac:dyDescent="0.25">
      <c r="B7" s="49">
        <f>D7-D6</f>
        <v>0</v>
      </c>
      <c r="D7" s="49">
        <f>'Scheduling Critical Path'!$J10</f>
        <v>1</v>
      </c>
      <c r="F7" s="49">
        <f>H7-H6</f>
        <v>2</v>
      </c>
      <c r="H7" s="49">
        <f>'Scheduling Critical Path'!J11</f>
        <v>4</v>
      </c>
    </row>
    <row r="9" spans="2:8" ht="13.95" customHeight="1" thickBot="1" x14ac:dyDescent="0.3">
      <c r="B9" s="49">
        <f>'Scheduling Critical Path'!G12</f>
        <v>1</v>
      </c>
      <c r="D9" s="49">
        <f>B9+D11</f>
        <v>3</v>
      </c>
      <c r="F9" s="49">
        <f>'Scheduling Critical Path'!G13</f>
        <v>1</v>
      </c>
      <c r="H9" s="49">
        <f>F9+H11</f>
        <v>3</v>
      </c>
    </row>
    <row r="10" spans="2:8" ht="30" customHeight="1" x14ac:dyDescent="0.25">
      <c r="B10" s="91" t="str">
        <f>'Scheduling Critical Path'!$C12</f>
        <v>Develop DELETE endpoint for pet</v>
      </c>
      <c r="C10" s="92"/>
      <c r="D10" s="93"/>
      <c r="F10" s="88" t="str">
        <f>'Scheduling Critical Path'!$C13</f>
        <v>Develop PUT endpoint for pet</v>
      </c>
      <c r="G10" s="89"/>
      <c r="H10" s="90"/>
    </row>
    <row r="11" spans="2:8" ht="13.95" customHeight="1" thickBot="1" x14ac:dyDescent="0.3">
      <c r="B11" s="54">
        <f>'Scheduling Critical Path'!$B12</f>
        <v>3</v>
      </c>
      <c r="C11" s="51" t="str">
        <f>'Scheduling Critical Path'!$F12</f>
        <v>Ian</v>
      </c>
      <c r="D11" s="52">
        <f>'Scheduling Critical Path'!$E12</f>
        <v>2</v>
      </c>
      <c r="F11" s="54">
        <f>'Scheduling Critical Path'!$B13</f>
        <v>4</v>
      </c>
      <c r="G11" s="51" t="str">
        <f>'Scheduling Critical Path'!$F13</f>
        <v>Ian</v>
      </c>
      <c r="H11" s="52">
        <f>'Scheduling Critical Path'!$E13</f>
        <v>2</v>
      </c>
    </row>
    <row r="12" spans="2:8" ht="13.95" customHeight="1" x14ac:dyDescent="0.25">
      <c r="B12" s="49">
        <f>D12-D11</f>
        <v>2</v>
      </c>
      <c r="D12" s="49">
        <f>'Scheduling Critical Path'!J12</f>
        <v>4</v>
      </c>
      <c r="F12" s="49">
        <f>H12-H11</f>
        <v>2</v>
      </c>
      <c r="H12" s="49">
        <f>'Scheduling Critical Path'!J13</f>
        <v>4</v>
      </c>
    </row>
    <row r="14" spans="2:8" ht="13.95" customHeight="1" thickBot="1" x14ac:dyDescent="0.3">
      <c r="B14" s="49">
        <f>'Scheduling Critical Path'!G14</f>
        <v>1</v>
      </c>
      <c r="D14" s="49">
        <f>B14+D16</f>
        <v>4</v>
      </c>
      <c r="F14" s="49">
        <f>'Scheduling Critical Path'!G15</f>
        <v>4</v>
      </c>
      <c r="H14" s="49">
        <f>F14+H16</f>
        <v>5</v>
      </c>
    </row>
    <row r="15" spans="2:8" ht="30" customHeight="1" x14ac:dyDescent="0.25">
      <c r="B15" s="88" t="str">
        <f>'Scheduling Critical Path'!$C14</f>
        <v>Develop GET endpoint for pet</v>
      </c>
      <c r="C15" s="89"/>
      <c r="D15" s="90"/>
      <c r="F15" s="88" t="str">
        <f>'Scheduling Critical Path'!$C15</f>
        <v>Handle image saving and deleting</v>
      </c>
      <c r="G15" s="89"/>
      <c r="H15" s="90"/>
    </row>
    <row r="16" spans="2:8" ht="13.95" customHeight="1" thickBot="1" x14ac:dyDescent="0.3">
      <c r="B16" s="54">
        <f>'Scheduling Critical Path'!$B14</f>
        <v>5</v>
      </c>
      <c r="C16" s="51" t="str">
        <f>'Scheduling Critical Path'!$F14</f>
        <v>Ian</v>
      </c>
      <c r="D16" s="52">
        <f>'Scheduling Critical Path'!$E14</f>
        <v>3</v>
      </c>
      <c r="F16" s="54">
        <f>'Scheduling Critical Path'!$B15</f>
        <v>6</v>
      </c>
      <c r="G16" s="51" t="str">
        <f>'Scheduling Critical Path'!$F15</f>
        <v>Ian</v>
      </c>
      <c r="H16" s="52">
        <f>'Scheduling Critical Path'!$E15</f>
        <v>1</v>
      </c>
    </row>
    <row r="17" spans="2:8" ht="13.95" customHeight="1" x14ac:dyDescent="0.25">
      <c r="B17" s="49">
        <f>D17-D16</f>
        <v>1</v>
      </c>
      <c r="D17" s="49">
        <f>'Scheduling Critical Path'!J14</f>
        <v>4</v>
      </c>
      <c r="F17" s="49">
        <f>H17-H16</f>
        <v>4</v>
      </c>
      <c r="H17" s="49">
        <f>'Scheduling Critical Path'!J15</f>
        <v>5</v>
      </c>
    </row>
    <row r="19" spans="2:8" ht="13.95" customHeight="1" thickBot="1" x14ac:dyDescent="0.3">
      <c r="B19" s="49">
        <f>'Scheduling Critical Path'!G16</f>
        <v>5</v>
      </c>
      <c r="D19" s="49">
        <f>B19+D21</f>
        <v>7</v>
      </c>
      <c r="F19" s="49">
        <f>'Scheduling Critical Path'!G17</f>
        <v>5</v>
      </c>
      <c r="H19" s="49">
        <f>F19+H21</f>
        <v>6</v>
      </c>
    </row>
    <row r="20" spans="2:8" ht="30" customHeight="1" x14ac:dyDescent="0.25">
      <c r="B20" s="88" t="str">
        <f>'Scheduling Critical Path'!$C16</f>
        <v>Testing backend</v>
      </c>
      <c r="C20" s="89"/>
      <c r="D20" s="90"/>
      <c r="F20" s="88" t="str">
        <f>'Scheduling Critical Path'!$C17</f>
        <v>Wireframe for pet management layout</v>
      </c>
      <c r="G20" s="89"/>
      <c r="H20" s="90"/>
    </row>
    <row r="21" spans="2:8" ht="13.95" customHeight="1" thickBot="1" x14ac:dyDescent="0.3">
      <c r="B21" s="54">
        <f>'Scheduling Critical Path'!$B16</f>
        <v>7</v>
      </c>
      <c r="C21" s="51" t="str">
        <f>'Scheduling Critical Path'!$F16</f>
        <v>Tommy</v>
      </c>
      <c r="D21" s="52">
        <f>'Scheduling Critical Path'!$E16</f>
        <v>2</v>
      </c>
      <c r="F21" s="54">
        <f>'Scheduling Critical Path'!$B17</f>
        <v>8</v>
      </c>
      <c r="G21" s="51" t="str">
        <f>'Scheduling Critical Path'!$F17</f>
        <v>Upul</v>
      </c>
      <c r="H21" s="52">
        <f>'Scheduling Critical Path'!$E17</f>
        <v>1</v>
      </c>
    </row>
    <row r="22" spans="2:8" ht="13.95" customHeight="1" x14ac:dyDescent="0.25">
      <c r="B22" s="49">
        <f>D22-D21</f>
        <v>5</v>
      </c>
      <c r="D22" s="49">
        <f>'Scheduling Critical Path'!J16</f>
        <v>7</v>
      </c>
      <c r="F22" s="49">
        <f>H22-H21</f>
        <v>6</v>
      </c>
      <c r="H22" s="49">
        <f>'Scheduling Critical Path'!J17</f>
        <v>7</v>
      </c>
    </row>
    <row r="24" spans="2:8" ht="13.95" customHeight="1" thickBot="1" x14ac:dyDescent="0.3">
      <c r="B24" s="49">
        <f>'Scheduling Critical Path'!G18</f>
        <v>7</v>
      </c>
      <c r="D24" s="49">
        <f>B24+D26</f>
        <v>11</v>
      </c>
      <c r="F24" s="49">
        <f>'Scheduling Critical Path'!G19</f>
        <v>11</v>
      </c>
      <c r="H24" s="49">
        <f>F24+H26</f>
        <v>13</v>
      </c>
    </row>
    <row r="25" spans="2:8" ht="30" customHeight="1" x14ac:dyDescent="0.25">
      <c r="B25" s="88" t="str">
        <f>'Scheduling Critical Path'!$C18</f>
        <v>Develop front-end interfaces and forms</v>
      </c>
      <c r="C25" s="89"/>
      <c r="D25" s="90"/>
      <c r="F25" s="88" t="str">
        <f>'Scheduling Critical Path'!$C19</f>
        <v>Integrating front-end with back-end</v>
      </c>
      <c r="G25" s="89"/>
      <c r="H25" s="90"/>
    </row>
    <row r="26" spans="2:8" ht="13.95" customHeight="1" thickBot="1" x14ac:dyDescent="0.3">
      <c r="B26" s="54">
        <f>'Scheduling Critical Path'!$B18</f>
        <v>9</v>
      </c>
      <c r="C26" s="51" t="str">
        <f>'Scheduling Critical Path'!$F18</f>
        <v>Ian</v>
      </c>
      <c r="D26" s="52">
        <f>'Scheduling Critical Path'!$E18</f>
        <v>4</v>
      </c>
      <c r="F26" s="54">
        <f>'Scheduling Critical Path'!$B19</f>
        <v>10</v>
      </c>
      <c r="G26" s="51" t="str">
        <f>'Scheduling Critical Path'!$F19</f>
        <v>Ian</v>
      </c>
      <c r="H26" s="52">
        <f>'Scheduling Critical Path'!$E19</f>
        <v>2</v>
      </c>
    </row>
    <row r="27" spans="2:8" ht="13.95" customHeight="1" x14ac:dyDescent="0.25">
      <c r="B27" s="49">
        <f>D27-D26</f>
        <v>7</v>
      </c>
      <c r="D27" s="49">
        <f>'Scheduling Critical Path'!J18</f>
        <v>11</v>
      </c>
      <c r="F27" s="49">
        <f>H27-H26</f>
        <v>11</v>
      </c>
      <c r="H27" s="49">
        <f>'Scheduling Critical Path'!J19</f>
        <v>13</v>
      </c>
    </row>
    <row r="29" spans="2:8" ht="13.95" customHeight="1" thickBot="1" x14ac:dyDescent="0.3">
      <c r="B29" s="49">
        <f>'Scheduling Critical Path'!G20</f>
        <v>13</v>
      </c>
      <c r="D29" s="49">
        <f>B29+D31</f>
        <v>15</v>
      </c>
    </row>
    <row r="30" spans="2:8" ht="30" customHeight="1" x14ac:dyDescent="0.25">
      <c r="B30" s="88" t="str">
        <f>'Scheduling Critical Path'!$C20</f>
        <v>Testing integration</v>
      </c>
      <c r="C30" s="89"/>
      <c r="D30" s="90"/>
      <c r="F30" s="94"/>
      <c r="G30" s="94"/>
      <c r="H30" s="94"/>
    </row>
    <row r="31" spans="2:8" ht="13.95" customHeight="1" thickBot="1" x14ac:dyDescent="0.3">
      <c r="B31" s="54">
        <f>'Scheduling Critical Path'!$B20</f>
        <v>11</v>
      </c>
      <c r="C31" s="51" t="str">
        <f>'Scheduling Critical Path'!$F20</f>
        <v>Tommy</v>
      </c>
      <c r="D31" s="52">
        <f>'Scheduling Critical Path'!$E20</f>
        <v>2</v>
      </c>
    </row>
    <row r="32" spans="2:8" ht="13.95" customHeight="1" x14ac:dyDescent="0.25">
      <c r="B32" s="49">
        <f>D32-D31</f>
        <v>13</v>
      </c>
      <c r="D32" s="49">
        <f>'Scheduling Critical Path'!J20</f>
        <v>15</v>
      </c>
    </row>
  </sheetData>
  <mergeCells count="12">
    <mergeCell ref="B20:D20"/>
    <mergeCell ref="F20:H20"/>
    <mergeCell ref="B25:D25"/>
    <mergeCell ref="F25:H25"/>
    <mergeCell ref="B30:D30"/>
    <mergeCell ref="F30:H30"/>
    <mergeCell ref="B5:D5"/>
    <mergeCell ref="B10:D10"/>
    <mergeCell ref="F5:H5"/>
    <mergeCell ref="F10:H10"/>
    <mergeCell ref="B15:D15"/>
    <mergeCell ref="F15:H15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AF3E-E019-4DE8-8E32-2800B56E4494}">
  <dimension ref="A2:G35"/>
  <sheetViews>
    <sheetView workbookViewId="0">
      <selection activeCell="E40" sqref="E40"/>
    </sheetView>
  </sheetViews>
  <sheetFormatPr defaultRowHeight="13.2" x14ac:dyDescent="0.25"/>
  <cols>
    <col min="2" max="3" width="18" customWidth="1"/>
    <col min="4" max="4" width="73.109375" customWidth="1"/>
    <col min="5" max="7" width="18" customWidth="1"/>
  </cols>
  <sheetData>
    <row r="2" spans="1:7" x14ac:dyDescent="0.25">
      <c r="B2" t="s">
        <v>134</v>
      </c>
    </row>
    <row r="3" spans="1:7" x14ac:dyDescent="0.25">
      <c r="B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</row>
    <row r="4" spans="1:7" x14ac:dyDescent="0.25">
      <c r="A4">
        <f>ROW()-3</f>
        <v>1</v>
      </c>
      <c r="B4" t="s">
        <v>141</v>
      </c>
      <c r="C4" t="s">
        <v>68</v>
      </c>
      <c r="D4" t="s">
        <v>142</v>
      </c>
      <c r="E4" t="s">
        <v>143</v>
      </c>
      <c r="F4" s="57" t="s">
        <v>144</v>
      </c>
      <c r="G4" t="s">
        <v>145</v>
      </c>
    </row>
    <row r="5" spans="1:7" x14ac:dyDescent="0.25">
      <c r="A5">
        <f t="shared" ref="A5:A14" si="0">ROW()-3</f>
        <v>2</v>
      </c>
      <c r="B5" t="s">
        <v>141</v>
      </c>
      <c r="C5" t="s">
        <v>68</v>
      </c>
      <c r="D5" t="s">
        <v>146</v>
      </c>
      <c r="E5" t="s">
        <v>143</v>
      </c>
      <c r="F5" s="57" t="s">
        <v>144</v>
      </c>
      <c r="G5" t="s">
        <v>145</v>
      </c>
    </row>
    <row r="6" spans="1:7" x14ac:dyDescent="0.25">
      <c r="A6">
        <f t="shared" si="0"/>
        <v>3</v>
      </c>
      <c r="B6" t="s">
        <v>141</v>
      </c>
      <c r="C6" t="s">
        <v>68</v>
      </c>
      <c r="D6" t="s">
        <v>147</v>
      </c>
      <c r="E6" t="s">
        <v>143</v>
      </c>
      <c r="F6" s="57" t="s">
        <v>144</v>
      </c>
      <c r="G6" t="s">
        <v>145</v>
      </c>
    </row>
    <row r="7" spans="1:7" x14ac:dyDescent="0.25">
      <c r="A7">
        <f t="shared" si="0"/>
        <v>4</v>
      </c>
      <c r="B7" s="57" t="s">
        <v>141</v>
      </c>
      <c r="E7" s="57" t="s">
        <v>143</v>
      </c>
      <c r="F7" s="57" t="s">
        <v>144</v>
      </c>
      <c r="G7" t="s">
        <v>145</v>
      </c>
    </row>
    <row r="8" spans="1:7" x14ac:dyDescent="0.25">
      <c r="A8">
        <f t="shared" si="0"/>
        <v>5</v>
      </c>
      <c r="B8" t="s">
        <v>141</v>
      </c>
      <c r="C8" t="s">
        <v>68</v>
      </c>
      <c r="D8" s="57" t="s">
        <v>148</v>
      </c>
      <c r="E8" t="s">
        <v>149</v>
      </c>
      <c r="F8" s="57" t="s">
        <v>144</v>
      </c>
      <c r="G8" t="s">
        <v>150</v>
      </c>
    </row>
    <row r="9" spans="1:7" x14ac:dyDescent="0.25">
      <c r="A9">
        <f t="shared" si="0"/>
        <v>6</v>
      </c>
      <c r="B9" t="s">
        <v>151</v>
      </c>
      <c r="C9" t="s">
        <v>78</v>
      </c>
      <c r="D9" t="s">
        <v>152</v>
      </c>
      <c r="E9" t="s">
        <v>143</v>
      </c>
      <c r="F9" s="57" t="s">
        <v>144</v>
      </c>
      <c r="G9" t="s">
        <v>153</v>
      </c>
    </row>
    <row r="10" spans="1:7" x14ac:dyDescent="0.25">
      <c r="A10">
        <f t="shared" si="0"/>
        <v>7</v>
      </c>
      <c r="B10" t="s">
        <v>151</v>
      </c>
      <c r="C10" t="s">
        <v>78</v>
      </c>
      <c r="D10" t="s">
        <v>154</v>
      </c>
      <c r="E10" t="s">
        <v>143</v>
      </c>
      <c r="F10" s="57" t="s">
        <v>144</v>
      </c>
      <c r="G10" t="s">
        <v>155</v>
      </c>
    </row>
    <row r="11" spans="1:7" x14ac:dyDescent="0.25">
      <c r="A11">
        <f t="shared" si="0"/>
        <v>8</v>
      </c>
      <c r="B11" t="s">
        <v>151</v>
      </c>
      <c r="C11" t="s">
        <v>78</v>
      </c>
      <c r="D11" t="s">
        <v>156</v>
      </c>
      <c r="E11" t="s">
        <v>143</v>
      </c>
      <c r="F11" s="57" t="s">
        <v>144</v>
      </c>
      <c r="G11" t="s">
        <v>157</v>
      </c>
    </row>
    <row r="12" spans="1:7" x14ac:dyDescent="0.25">
      <c r="A12">
        <f t="shared" si="0"/>
        <v>9</v>
      </c>
      <c r="B12" t="s">
        <v>158</v>
      </c>
      <c r="C12" t="s">
        <v>159</v>
      </c>
      <c r="D12" t="s">
        <v>160</v>
      </c>
      <c r="E12" t="s">
        <v>149</v>
      </c>
      <c r="F12" t="s">
        <v>161</v>
      </c>
      <c r="G12" t="s">
        <v>162</v>
      </c>
    </row>
    <row r="13" spans="1:7" ht="26.4" x14ac:dyDescent="0.25">
      <c r="A13">
        <f t="shared" si="0"/>
        <v>10</v>
      </c>
      <c r="B13" t="s">
        <v>158</v>
      </c>
      <c r="C13" t="s">
        <v>159</v>
      </c>
      <c r="D13" s="76" t="s">
        <v>163</v>
      </c>
      <c r="E13" t="s">
        <v>149</v>
      </c>
      <c r="F13" t="s">
        <v>161</v>
      </c>
      <c r="G13" t="s">
        <v>164</v>
      </c>
    </row>
    <row r="14" spans="1:7" x14ac:dyDescent="0.25">
      <c r="A14">
        <f t="shared" si="0"/>
        <v>11</v>
      </c>
      <c r="B14" t="s">
        <v>158</v>
      </c>
      <c r="D14" s="57" t="s">
        <v>165</v>
      </c>
      <c r="E14" t="s">
        <v>149</v>
      </c>
      <c r="F14" t="s">
        <v>161</v>
      </c>
      <c r="G14" t="s">
        <v>166</v>
      </c>
    </row>
    <row r="15" spans="1:7" x14ac:dyDescent="0.25">
      <c r="D15" s="57" t="s">
        <v>167</v>
      </c>
    </row>
    <row r="23" spans="3:7" x14ac:dyDescent="0.25">
      <c r="C23" t="s">
        <v>136</v>
      </c>
      <c r="D23" t="s">
        <v>137</v>
      </c>
      <c r="E23" t="s">
        <v>135</v>
      </c>
      <c r="F23" t="s">
        <v>138</v>
      </c>
      <c r="G23" t="s">
        <v>139</v>
      </c>
    </row>
    <row r="24" spans="3:7" x14ac:dyDescent="0.25">
      <c r="C24" t="s">
        <v>78</v>
      </c>
      <c r="D24" s="57" t="s">
        <v>168</v>
      </c>
      <c r="E24">
        <v>1</v>
      </c>
      <c r="F24" t="s">
        <v>143</v>
      </c>
      <c r="G24" s="57" t="s">
        <v>144</v>
      </c>
    </row>
    <row r="25" spans="3:7" x14ac:dyDescent="0.25">
      <c r="C25" t="s">
        <v>78</v>
      </c>
      <c r="D25" s="57" t="s">
        <v>169</v>
      </c>
      <c r="E25">
        <v>1</v>
      </c>
      <c r="F25" t="s">
        <v>143</v>
      </c>
      <c r="G25" s="57" t="s">
        <v>144</v>
      </c>
    </row>
    <row r="26" spans="3:7" x14ac:dyDescent="0.25">
      <c r="C26" t="s">
        <v>68</v>
      </c>
      <c r="D26" s="57" t="s">
        <v>170</v>
      </c>
      <c r="E26">
        <v>1</v>
      </c>
      <c r="F26" t="s">
        <v>143</v>
      </c>
      <c r="G26" s="57" t="s">
        <v>144</v>
      </c>
    </row>
    <row r="27" spans="3:7" x14ac:dyDescent="0.25">
      <c r="C27" t="s">
        <v>68</v>
      </c>
      <c r="D27" s="57" t="s">
        <v>171</v>
      </c>
      <c r="E27">
        <v>2</v>
      </c>
      <c r="F27" t="s">
        <v>143</v>
      </c>
      <c r="G27" s="57" t="s">
        <v>144</v>
      </c>
    </row>
    <row r="28" spans="3:7" x14ac:dyDescent="0.25">
      <c r="C28" t="s">
        <v>68</v>
      </c>
      <c r="D28" s="57" t="s">
        <v>172</v>
      </c>
      <c r="E28">
        <v>2</v>
      </c>
      <c r="F28" s="57" t="s">
        <v>143</v>
      </c>
      <c r="G28" s="57" t="s">
        <v>144</v>
      </c>
    </row>
    <row r="29" spans="3:7" x14ac:dyDescent="0.25">
      <c r="C29" s="57" t="s">
        <v>58</v>
      </c>
      <c r="D29" s="57" t="s">
        <v>173</v>
      </c>
      <c r="E29">
        <v>2</v>
      </c>
      <c r="F29" t="s">
        <v>143</v>
      </c>
      <c r="G29" s="57" t="s">
        <v>144</v>
      </c>
    </row>
    <row r="30" spans="3:7" x14ac:dyDescent="0.25">
      <c r="C30" s="57" t="s">
        <v>58</v>
      </c>
      <c r="D30" s="57" t="s">
        <v>174</v>
      </c>
      <c r="E30">
        <v>3</v>
      </c>
      <c r="F30" s="57" t="s">
        <v>149</v>
      </c>
      <c r="G30" t="s">
        <v>161</v>
      </c>
    </row>
    <row r="31" spans="3:7" x14ac:dyDescent="0.25">
      <c r="C31" s="57" t="s">
        <v>58</v>
      </c>
      <c r="D31" s="57" t="s">
        <v>175</v>
      </c>
      <c r="E31">
        <v>3</v>
      </c>
      <c r="F31" t="s">
        <v>149</v>
      </c>
      <c r="G31" t="s">
        <v>161</v>
      </c>
    </row>
    <row r="32" spans="3:7" x14ac:dyDescent="0.25">
      <c r="C32" s="57" t="s">
        <v>48</v>
      </c>
      <c r="D32" s="57" t="s">
        <v>176</v>
      </c>
      <c r="E32">
        <v>4</v>
      </c>
      <c r="F32" t="s">
        <v>149</v>
      </c>
      <c r="G32" t="s">
        <v>161</v>
      </c>
    </row>
    <row r="33" spans="3:7" x14ac:dyDescent="0.25">
      <c r="C33" s="57" t="s">
        <v>48</v>
      </c>
      <c r="D33" s="57" t="s">
        <v>177</v>
      </c>
      <c r="E33">
        <v>4</v>
      </c>
      <c r="F33" s="57" t="s">
        <v>178</v>
      </c>
      <c r="G33" t="s">
        <v>161</v>
      </c>
    </row>
    <row r="34" spans="3:7" x14ac:dyDescent="0.25">
      <c r="C34" s="57" t="s">
        <v>48</v>
      </c>
      <c r="D34" s="57" t="s">
        <v>179</v>
      </c>
      <c r="E34">
        <v>4</v>
      </c>
      <c r="F34" s="57" t="s">
        <v>178</v>
      </c>
      <c r="G34" t="s">
        <v>161</v>
      </c>
    </row>
    <row r="35" spans="3:7" x14ac:dyDescent="0.25">
      <c r="C35" s="57" t="s">
        <v>58</v>
      </c>
      <c r="D35" s="57" t="s">
        <v>180</v>
      </c>
      <c r="E35">
        <v>4</v>
      </c>
      <c r="F35" s="57" t="s">
        <v>178</v>
      </c>
      <c r="G35" t="s">
        <v>161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E183-A384-4EFA-82D9-9413BD421D50}">
  <dimension ref="A2:N22"/>
  <sheetViews>
    <sheetView workbookViewId="0">
      <selection activeCell="S17" sqref="S17"/>
    </sheetView>
  </sheetViews>
  <sheetFormatPr defaultRowHeight="13.2" x14ac:dyDescent="0.25"/>
  <cols>
    <col min="1" max="1" width="37.109375" customWidth="1"/>
    <col min="2" max="13" width="9.109375" customWidth="1"/>
  </cols>
  <sheetData>
    <row r="2" spans="1:14" x14ac:dyDescent="0.25">
      <c r="B2" s="95" t="s">
        <v>181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1:14" x14ac:dyDescent="0.25">
      <c r="A3" t="s">
        <v>182</v>
      </c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55">
        <v>6</v>
      </c>
      <c r="H3" s="55">
        <v>7</v>
      </c>
      <c r="I3" s="55">
        <v>8</v>
      </c>
      <c r="J3" s="55">
        <v>9</v>
      </c>
      <c r="K3" s="55">
        <v>10</v>
      </c>
      <c r="L3" s="55">
        <v>11</v>
      </c>
      <c r="M3" s="55">
        <v>12</v>
      </c>
      <c r="N3" s="56" t="s">
        <v>181</v>
      </c>
    </row>
    <row r="5" spans="1:14" x14ac:dyDescent="0.25">
      <c r="A5" t="s">
        <v>183</v>
      </c>
      <c r="B5" s="58">
        <v>0</v>
      </c>
      <c r="C5" s="58">
        <f>B7</f>
        <v>13.333333333333334</v>
      </c>
      <c r="D5" s="58">
        <f t="shared" ref="D5:M5" si="0">C7</f>
        <v>26.666666666666668</v>
      </c>
      <c r="E5" s="58">
        <f t="shared" si="0"/>
        <v>40</v>
      </c>
      <c r="F5" s="58">
        <f t="shared" si="0"/>
        <v>45</v>
      </c>
      <c r="G5" s="58">
        <f t="shared" si="0"/>
        <v>50</v>
      </c>
      <c r="H5" s="58">
        <f t="shared" si="0"/>
        <v>55</v>
      </c>
      <c r="I5" s="58">
        <f t="shared" si="0"/>
        <v>60</v>
      </c>
      <c r="J5" s="58">
        <f t="shared" si="0"/>
        <v>65</v>
      </c>
      <c r="K5" s="58">
        <f t="shared" si="0"/>
        <v>70</v>
      </c>
      <c r="L5" s="58">
        <f t="shared" si="0"/>
        <v>75</v>
      </c>
      <c r="M5" s="58">
        <f t="shared" si="0"/>
        <v>80</v>
      </c>
      <c r="N5" s="58"/>
    </row>
    <row r="6" spans="1:14" x14ac:dyDescent="0.25">
      <c r="A6" t="s">
        <v>184</v>
      </c>
      <c r="B6" s="58">
        <f>200*20%/3</f>
        <v>13.333333333333334</v>
      </c>
      <c r="C6" s="58">
        <f t="shared" ref="C6:D6" si="1">200*20%/3</f>
        <v>13.333333333333334</v>
      </c>
      <c r="D6" s="58">
        <f t="shared" si="1"/>
        <v>13.333333333333334</v>
      </c>
      <c r="E6" s="58">
        <f>B21</f>
        <v>5</v>
      </c>
      <c r="F6" s="58">
        <v>5</v>
      </c>
      <c r="G6" s="58">
        <v>5</v>
      </c>
      <c r="H6" s="58">
        <v>5</v>
      </c>
      <c r="I6" s="58">
        <v>5</v>
      </c>
      <c r="J6" s="58">
        <v>5</v>
      </c>
      <c r="K6" s="58">
        <v>5</v>
      </c>
      <c r="L6" s="58">
        <v>5</v>
      </c>
      <c r="M6" s="58">
        <v>5</v>
      </c>
      <c r="N6" s="58"/>
    </row>
    <row r="7" spans="1:14" x14ac:dyDescent="0.25">
      <c r="A7" s="57" t="s">
        <v>185</v>
      </c>
      <c r="B7" s="58">
        <f>SUM(B5:B6)</f>
        <v>13.333333333333334</v>
      </c>
      <c r="C7" s="58">
        <f t="shared" ref="C7:D7" si="2">SUM(C5:C6)</f>
        <v>26.666666666666668</v>
      </c>
      <c r="D7" s="58">
        <f t="shared" si="2"/>
        <v>40</v>
      </c>
      <c r="E7" s="58">
        <f t="shared" ref="E7" si="3">SUM(E5:E6)</f>
        <v>45</v>
      </c>
      <c r="F7" s="58">
        <f t="shared" ref="F7" si="4">SUM(F5:F6)</f>
        <v>50</v>
      </c>
      <c r="G7" s="58">
        <f t="shared" ref="G7" si="5">SUM(G5:G6)</f>
        <v>55</v>
      </c>
      <c r="H7" s="58">
        <f t="shared" ref="H7" si="6">SUM(H5:H6)</f>
        <v>60</v>
      </c>
      <c r="I7" s="58">
        <f t="shared" ref="I7" si="7">SUM(I5:I6)</f>
        <v>65</v>
      </c>
      <c r="J7" s="58">
        <f t="shared" ref="J7" si="8">SUM(J5:J6)</f>
        <v>70</v>
      </c>
      <c r="K7" s="58">
        <f t="shared" ref="K7" si="9">SUM(K5:K6)</f>
        <v>75</v>
      </c>
      <c r="L7" s="58">
        <f t="shared" ref="L7" si="10">SUM(L5:L6)</f>
        <v>80</v>
      </c>
      <c r="M7" s="58">
        <f t="shared" ref="M7" si="11">SUM(M5:M6)</f>
        <v>85</v>
      </c>
      <c r="N7" s="58">
        <f>M7</f>
        <v>85</v>
      </c>
    </row>
    <row r="8" spans="1:14" x14ac:dyDescent="0.25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</row>
    <row r="9" spans="1:14" x14ac:dyDescent="0.25">
      <c r="A9" t="s">
        <v>186</v>
      </c>
      <c r="B9" s="58">
        <v>39</v>
      </c>
      <c r="C9" s="58">
        <f>B9</f>
        <v>39</v>
      </c>
      <c r="D9" s="58">
        <f t="shared" ref="D9:M9" si="12">C9</f>
        <v>39</v>
      </c>
      <c r="E9" s="58">
        <f t="shared" si="12"/>
        <v>39</v>
      </c>
      <c r="F9" s="58">
        <f t="shared" si="12"/>
        <v>39</v>
      </c>
      <c r="G9" s="58">
        <f t="shared" si="12"/>
        <v>39</v>
      </c>
      <c r="H9" s="58">
        <f t="shared" si="12"/>
        <v>39</v>
      </c>
      <c r="I9" s="58">
        <f t="shared" si="12"/>
        <v>39</v>
      </c>
      <c r="J9" s="58">
        <f t="shared" si="12"/>
        <v>39</v>
      </c>
      <c r="K9" s="58">
        <f t="shared" si="12"/>
        <v>39</v>
      </c>
      <c r="L9" s="58">
        <f t="shared" si="12"/>
        <v>39</v>
      </c>
      <c r="M9" s="58">
        <f t="shared" si="12"/>
        <v>39</v>
      </c>
      <c r="N9" s="58"/>
    </row>
    <row r="10" spans="1:14" x14ac:dyDescent="0.25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spans="1:14" x14ac:dyDescent="0.25">
      <c r="A11" s="55" t="s">
        <v>187</v>
      </c>
      <c r="B11" s="59">
        <f>AVERAGE(B5,B7)*B9</f>
        <v>260</v>
      </c>
      <c r="C11" s="59">
        <f t="shared" ref="C11:M11" si="13">AVERAGE(C5,C7)*C9</f>
        <v>780</v>
      </c>
      <c r="D11" s="59">
        <f t="shared" si="13"/>
        <v>1300</v>
      </c>
      <c r="E11" s="59">
        <f t="shared" si="13"/>
        <v>1657.5</v>
      </c>
      <c r="F11" s="59">
        <f t="shared" si="13"/>
        <v>1852.5</v>
      </c>
      <c r="G11" s="59">
        <f t="shared" si="13"/>
        <v>2047.5</v>
      </c>
      <c r="H11" s="59">
        <f t="shared" si="13"/>
        <v>2242.5</v>
      </c>
      <c r="I11" s="59">
        <f t="shared" si="13"/>
        <v>2437.5</v>
      </c>
      <c r="J11" s="59">
        <f t="shared" si="13"/>
        <v>2632.5</v>
      </c>
      <c r="K11" s="59">
        <f t="shared" si="13"/>
        <v>2827.5</v>
      </c>
      <c r="L11" s="59">
        <f t="shared" si="13"/>
        <v>3022.5</v>
      </c>
      <c r="M11" s="59">
        <f t="shared" si="13"/>
        <v>3217.5</v>
      </c>
      <c r="N11" s="59">
        <f>SUM(B11:M11)</f>
        <v>24277.5</v>
      </c>
    </row>
    <row r="12" spans="1:14" x14ac:dyDescent="0.25">
      <c r="A12" s="57" t="s">
        <v>188</v>
      </c>
      <c r="B12" s="60">
        <f>-B19</f>
        <v>-300</v>
      </c>
      <c r="C12" s="60">
        <f>B12*1.03</f>
        <v>-309</v>
      </c>
      <c r="D12" s="60">
        <f t="shared" ref="D12:M12" si="14">C12*1.03</f>
        <v>-318.27</v>
      </c>
      <c r="E12" s="60">
        <f t="shared" si="14"/>
        <v>-327.81810000000002</v>
      </c>
      <c r="F12" s="60">
        <f t="shared" si="14"/>
        <v>-337.65264300000001</v>
      </c>
      <c r="G12" s="60">
        <f t="shared" si="14"/>
        <v>-347.78222228999999</v>
      </c>
      <c r="H12" s="60">
        <f t="shared" si="14"/>
        <v>-358.21568895870001</v>
      </c>
      <c r="I12" s="60">
        <f t="shared" si="14"/>
        <v>-368.96215962746101</v>
      </c>
      <c r="J12" s="60">
        <f t="shared" si="14"/>
        <v>-380.03102441628482</v>
      </c>
      <c r="K12" s="60">
        <f t="shared" si="14"/>
        <v>-391.4319551487734</v>
      </c>
      <c r="L12" s="60">
        <f t="shared" si="14"/>
        <v>-403.17491380323662</v>
      </c>
      <c r="M12" s="60">
        <f t="shared" si="14"/>
        <v>-415.27016121733374</v>
      </c>
      <c r="N12" s="59">
        <f>SUM(B12:M12)</f>
        <v>-4257.6088684617889</v>
      </c>
    </row>
    <row r="13" spans="1:14" x14ac:dyDescent="0.25">
      <c r="A13" s="57" t="s">
        <v>189</v>
      </c>
      <c r="B13" s="60">
        <f>B22*-1*0.5</f>
        <v>-1000</v>
      </c>
      <c r="C13" s="60">
        <f>B22*-1*0.25</f>
        <v>-500</v>
      </c>
      <c r="D13" s="60">
        <v>-500</v>
      </c>
      <c r="E13" s="60"/>
      <c r="F13" s="60"/>
      <c r="G13" s="60"/>
      <c r="H13" s="60"/>
      <c r="I13" s="60"/>
      <c r="J13" s="60"/>
      <c r="K13" s="60"/>
      <c r="L13" s="60"/>
      <c r="M13" s="60"/>
      <c r="N13" s="59">
        <f>SUM(B13:M13)</f>
        <v>-2000</v>
      </c>
    </row>
    <row r="14" spans="1:14" ht="13.8" thickBot="1" x14ac:dyDescent="0.3">
      <c r="A14" s="55" t="s">
        <v>190</v>
      </c>
      <c r="B14" s="61">
        <f>SUM(B11:B13)</f>
        <v>-1040</v>
      </c>
      <c r="C14" s="61">
        <f t="shared" ref="C14:M14" si="15">SUM(C11:C13)</f>
        <v>-29</v>
      </c>
      <c r="D14" s="61">
        <f t="shared" si="15"/>
        <v>481.73</v>
      </c>
      <c r="E14" s="61">
        <f t="shared" si="15"/>
        <v>1329.6819</v>
      </c>
      <c r="F14" s="61">
        <f t="shared" si="15"/>
        <v>1514.8473570000001</v>
      </c>
      <c r="G14" s="61">
        <f t="shared" si="15"/>
        <v>1699.7177777100001</v>
      </c>
      <c r="H14" s="61">
        <f t="shared" si="15"/>
        <v>1884.2843110413</v>
      </c>
      <c r="I14" s="61">
        <f t="shared" si="15"/>
        <v>2068.537840372539</v>
      </c>
      <c r="J14" s="61">
        <f t="shared" si="15"/>
        <v>2252.4689755837153</v>
      </c>
      <c r="K14" s="61">
        <f t="shared" si="15"/>
        <v>2436.0680448512267</v>
      </c>
      <c r="L14" s="61">
        <f t="shared" si="15"/>
        <v>2619.3250861967636</v>
      </c>
      <c r="M14" s="61">
        <f t="shared" si="15"/>
        <v>2802.2298387826663</v>
      </c>
      <c r="N14" s="61">
        <f>SUM(N11:N13)</f>
        <v>18019.89113153821</v>
      </c>
    </row>
    <row r="17" spans="1:2" x14ac:dyDescent="0.25">
      <c r="A17" s="57" t="s">
        <v>191</v>
      </c>
    </row>
    <row r="19" spans="1:2" x14ac:dyDescent="0.25">
      <c r="A19" s="57" t="s">
        <v>192</v>
      </c>
      <c r="B19">
        <v>300</v>
      </c>
    </row>
    <row r="20" spans="1:2" x14ac:dyDescent="0.25">
      <c r="A20" s="57" t="s">
        <v>193</v>
      </c>
      <c r="B20">
        <v>13</v>
      </c>
    </row>
    <row r="21" spans="1:2" x14ac:dyDescent="0.25">
      <c r="A21" s="57" t="s">
        <v>194</v>
      </c>
      <c r="B21">
        <v>5</v>
      </c>
    </row>
    <row r="22" spans="1:2" x14ac:dyDescent="0.25">
      <c r="A22" s="57" t="s">
        <v>195</v>
      </c>
      <c r="B22">
        <v>2000</v>
      </c>
    </row>
  </sheetData>
  <mergeCells count="1">
    <mergeCell ref="B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62d786-e394-4a6c-9262-a33dd9f4cc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0BE6F63403B14782EE0A3F3C0FDEA9" ma:contentTypeVersion="14" ma:contentTypeDescription="Create a new document." ma:contentTypeScope="" ma:versionID="195ccade8e8b267436d049f699683298">
  <xsd:schema xmlns:xsd="http://www.w3.org/2001/XMLSchema" xmlns:xs="http://www.w3.org/2001/XMLSchema" xmlns:p="http://schemas.microsoft.com/office/2006/metadata/properties" xmlns:ns3="2162d786-e394-4a6c-9262-a33dd9f4cc2e" xmlns:ns4="9fdba282-4c7c-47f3-a2f4-b0e70cbf7a24" targetNamespace="http://schemas.microsoft.com/office/2006/metadata/properties" ma:root="true" ma:fieldsID="466e6cde8a569a4d93f222d9af7683a6" ns3:_="" ns4:_="">
    <xsd:import namespace="2162d786-e394-4a6c-9262-a33dd9f4cc2e"/>
    <xsd:import namespace="9fdba282-4c7c-47f3-a2f4-b0e70cbf7a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2d786-e394-4a6c-9262-a33dd9f4cc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ba282-4c7c-47f3-a2f4-b0e70cbf7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3FE04-7035-4A5F-BAA5-6578D280C4CE}">
  <ds:schemaRefs>
    <ds:schemaRef ds:uri="http://www.w3.org/XML/1998/namespace"/>
    <ds:schemaRef ds:uri="http://purl.org/dc/dcmitype/"/>
    <ds:schemaRef ds:uri="http://schemas.microsoft.com/office/2006/metadata/properties"/>
    <ds:schemaRef ds:uri="2162d786-e394-4a6c-9262-a33dd9f4cc2e"/>
    <ds:schemaRef ds:uri="http://schemas.microsoft.com/office/2006/documentManagement/types"/>
    <ds:schemaRef ds:uri="9fdba282-4c7c-47f3-a2f4-b0e70cbf7a24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1E991C2-7800-4C31-8F95-86E6D96AE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2d786-e394-4a6c-9262-a33dd9f4cc2e"/>
    <ds:schemaRef ds:uri="9fdba282-4c7c-47f3-a2f4-b0e70cbf7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2235DD-9EC0-49A4-82A8-28DA648700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WBS Project</vt:lpstr>
      <vt:lpstr>WBS Phase 3</vt:lpstr>
      <vt:lpstr>WBS Phase 3v2</vt:lpstr>
      <vt:lpstr>Gantt Chart</vt:lpstr>
      <vt:lpstr>Scheduling Critical Path</vt:lpstr>
      <vt:lpstr>Sheet1</vt:lpstr>
      <vt:lpstr>Network Diagram</vt:lpstr>
      <vt:lpstr>Backlog and Sprints</vt:lpstr>
      <vt:lpstr>Business Case Financials</vt:lpstr>
      <vt:lpstr>'Gantt Chart'!Print_Area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Arias Schreiber Gonzalez</dc:creator>
  <cp:keywords/>
  <dc:description/>
  <cp:lastModifiedBy>Silva, Sandali V.</cp:lastModifiedBy>
  <cp:revision/>
  <cp:lastPrinted>2025-11-28T10:19:53Z</cp:lastPrinted>
  <dcterms:created xsi:type="dcterms:W3CDTF">2023-01-20T16:12:03Z</dcterms:created>
  <dcterms:modified xsi:type="dcterms:W3CDTF">2026-04-08T22:15:01Z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0x010100AF0BE6F63403B14782EE0A3F3C0FDEA9</vt:lpwstr>
  </property>
</Properties>
</file>